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CA56C375-F4D5-423C-AD2A-D04B0276B52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1" r:id="rId2"/>
    <sheet name="条件表" sheetId="3" r:id="rId3"/>
    <sheet name="DataTable" sheetId="2" r:id="rId4"/>
    <sheet name="サマリ" sheetId="16" r:id="rId5"/>
    <sheet name="散布図" sheetId="8" r:id="rId6"/>
    <sheet name="例_散布図" sheetId="4" r:id="rId7"/>
    <sheet name="work_jyoken" sheetId="12" r:id="rId8"/>
    <sheet name="work_graph" sheetId="7" r:id="rId9"/>
    <sheet name="work_scatter1" sheetId="13" r:id="rId10"/>
    <sheet name="work_scatter2" sheetId="11" r:id="rId11"/>
    <sheet name="結果グラフ_サマリ" sheetId="5" r:id="rId12"/>
  </sheets>
  <functionGroups builtInGroupCount="19"/>
  <definedNames>
    <definedName name="_xlnm._FilterDatabase" localSheetId="3" hidden="1">DataTable!$F$1:$Q$16</definedName>
    <definedName name="_xlnm._FilterDatabase" localSheetId="9" hidden="1">work_scatter1!#REF!</definedName>
    <definedName name="_xlnm._FilterDatabase" localSheetId="5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3" l="1"/>
  <c r="D6" i="13"/>
  <c r="D5" i="13"/>
  <c r="G4" i="12"/>
  <c r="G3" i="12"/>
  <c r="G2" i="12"/>
  <c r="D7" i="2"/>
  <c r="D6" i="2"/>
  <c r="D5" i="2"/>
  <c r="K13" i="3"/>
  <c r="K12" i="3"/>
  <c r="K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A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D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K12" authorId="0" shapeId="0" xr:uid="{CC6CCC56-EB45-45B5-AAF4-2B88221C5DEF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A569C1A1-0ED0-437B-BC53-57FB79A38A1C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<sst xmlns="http://schemas.openxmlformats.org/spreadsheetml/2006/main" count="544" uniqueCount="194">
  <si>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</si>
  <si>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</si>
  <si>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</si>
  <si>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</si>
  <si>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</si>
  <si>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</si>
  <si>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</si>
  <si>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</si>
  <si>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</si>
  <si>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</si>
  <si>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</si>
  <si>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</si>
  <si>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</si>
  <si>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</si>
  <si>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</si>
  <si>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e12</t>
    <phoneticPr fontId="1"/>
  </si>
  <si>
    <t>e11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</si>
  <si>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</si>
  <si>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</si>
  <si>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</si>
  <si>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</si>
  <si>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</si>
  <si>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</si>
  <si>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</si>
  <si>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</si>
  <si>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</si>
  <si>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</si>
  <si>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</si>
  <si>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</si>
  <si>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</si>
  <si>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</si>
  <si>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</si>
  <si>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</si>
  <si>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</si>
  <si>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</si>
  <si>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</si>
  <si>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</si>
  <si>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</si>
  <si>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</si>
  <si>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</si>
  <si>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</si>
  <si>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</si>
  <si>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</si>
  <si>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</si>
  <si>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</si>
  <si>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</si>
  <si>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</si>
  <si>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</si>
  <si>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</si>
  <si>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</si>
  <si>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</si>
  <si>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</si>
  <si>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</si>
  <si>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</si>
  <si>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</si>
  <si>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</si>
  <si>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</si>
  <si>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</si>
  <si>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</si>
  <si>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</si>
  <si>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</si>
  <si>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</si>
  <si>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</si>
  <si>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</si>
  <si>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</si>
  <si>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</si>
  <si>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</si>
  <si>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</si>
  <si>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</si>
  <si>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</si>
  <si>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</si>
  <si>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</si>
  <si>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</si>
  <si>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</si>
  <si>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</si>
  <si>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</si>
  <si>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</si>
  <si>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</si>
  <si>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</si>
  <si>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</si>
  <si>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</si>
  <si>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</si>
  <si>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</si>
  <si>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01_TGon/imp07</t>
  </si>
  <si>
    <t>01_TGon/imp08</t>
  </si>
  <si>
    <t>tokuA</t>
  </si>
  <si>
    <t>Qs01</t>
    <phoneticPr fontId="1"/>
  </si>
  <si>
    <t>TEST01</t>
    <phoneticPr fontId="1"/>
  </si>
  <si>
    <t>ZTEST01</t>
    <phoneticPr fontId="1"/>
  </si>
  <si>
    <t>Extract11</t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</si>
  <si>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</si>
  <si>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</si>
  <si>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</si>
  <si>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</si>
  <si>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</si>
  <si>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</si>
  <si>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</si>
  <si>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</si>
  <si>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</si>
  <si>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</si>
  <si>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</si>
  <si>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</si>
  <si>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</si>
  <si>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</si>
  <si>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</si>
  <si>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</si>
  <si>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As</t>
    <phoneticPr fontId="1"/>
  </si>
  <si>
    <t>B</t>
    <phoneticPr fontId="1"/>
  </si>
  <si>
    <t>300kev</t>
    <phoneticPr fontId="1"/>
  </si>
  <si>
    <t>30kev</t>
    <phoneticPr fontId="1"/>
  </si>
  <si>
    <t>150kev</t>
    <phoneticPr fontId="1"/>
  </si>
  <si>
    <t>100kev</t>
    <phoneticPr fontId="1"/>
  </si>
  <si>
    <t>200kev</t>
    <phoneticPr fontId="1"/>
  </si>
  <si>
    <t>1000kev</t>
    <phoneticPr fontId="1"/>
  </si>
  <si>
    <t>1200kev</t>
    <phoneticPr fontId="1"/>
  </si>
  <si>
    <t>Extract1</t>
    <phoneticPr fontId="1"/>
  </si>
  <si>
    <t>Extract2</t>
    <phoneticPr fontId="1"/>
  </si>
  <si>
    <t>imp09</t>
  </si>
  <si>
    <t>imp10</t>
  </si>
  <si>
    <t>imp11</t>
  </si>
  <si>
    <t>imp12</t>
  </si>
  <si>
    <t>01_TGon/imp09</t>
  </si>
  <si>
    <t>01_TGon/imp10</t>
  </si>
  <si>
    <t>01_TGon/imp11</t>
  </si>
  <si>
    <t>01_TGon/imp12</t>
  </si>
  <si>
    <t>■ 散布図　グルーピング</t>
    <rPh sb="2" eb="5">
      <t>サンプズ</t>
    </rPh>
    <phoneticPr fontId="1"/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</si>
  <si>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</si>
  <si>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</si>
  <si>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</si>
  <si>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</si>
  <si>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X軸</t>
    <rPh sb="1" eb="2">
      <t>ジク</t>
    </rPh>
    <phoneticPr fontId="1"/>
  </si>
  <si>
    <t>Y軸=toku1</t>
    <rPh sb="1" eb="2">
      <t>ジク</t>
    </rPh>
    <phoneticPr fontId="1"/>
  </si>
  <si>
    <t>X軸/Y軸</t>
    <rPh sb="1" eb="2">
      <t>ジク</t>
    </rPh>
    <rPh sb="4" eb="5">
      <t>ジク</t>
    </rPh>
    <phoneticPr fontId="1"/>
  </si>
  <si>
    <t>CWL1 =1.30E+12,matA =3.00E+11,OFD =3.60E+12,</t>
  </si>
  <si>
    <t>CWL1 =1.30E+12,matA =3.00E+11,OFD =3.60E+13,</t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</si>
  <si>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</si>
  <si>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</si>
  <si>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</si>
  <si>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</si>
  <si>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</si>
  <si>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</si>
  <si>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</si>
  <si>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</si>
  <si>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</si>
  <si>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</si>
  <si>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</si>
  <si>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imp01</t>
    <phoneticPr fontId="1"/>
  </si>
  <si>
    <t>CWL1_dose</t>
  </si>
  <si>
    <t>_</t>
  </si>
  <si>
    <t>レ</t>
  </si>
  <si>
    <t>CWL1_dose</t>
    <phoneticPr fontId="1"/>
  </si>
  <si>
    <t>matA_dose</t>
    <phoneticPr fontId="1"/>
  </si>
  <si>
    <t>OFD_dose</t>
    <phoneticPr fontId="1"/>
  </si>
  <si>
    <t>グラフ作成_散布図_X軸コンボボックス_ユーザー選択</t>
    <phoneticPr fontId="1"/>
  </si>
  <si>
    <t>グラフ作成_散布図_X軸コンボボックス</t>
    <phoneticPr fontId="1"/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</si>
  <si>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</si>
  <si>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</si>
  <si>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</si>
  <si>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</si>
  <si>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グラフ作成_散布図_グルーピング_ユーザー選択された項目</t>
  </si>
  <si>
    <t>グラフ作成_散布図_グルーピング_組み合わせ</t>
  </si>
  <si>
    <t>グラフ作成_散布図_Y軸_ユーザー選択</t>
  </si>
  <si>
    <t>グラフ作成_散布図_グルーピング_選択肢</t>
  </si>
  <si>
    <t>Field</t>
  </si>
  <si>
    <t>Unit</t>
  </si>
  <si>
    <t>group</t>
  </si>
  <si>
    <t>x</t>
  </si>
  <si>
    <t>配列 g_gui_scatterG_ary = gui_grpfilter_ary</t>
  </si>
  <si>
    <t>jyoken</t>
  </si>
  <si>
    <t>y_01_TGoff</t>
  </si>
  <si>
    <t>y_01_TGon</t>
  </si>
  <si>
    <t>y_03_Qs</t>
  </si>
  <si>
    <t>NAME</t>
  </si>
  <si>
    <t>■[DEBUG] data_ary内容</t>
    <phoneticPr fontId="1"/>
  </si>
  <si>
    <t>filter</t>
  </si>
  <si>
    <t>CWL1_dose =1.10E+12,matC_dose =5.20E+12,OFD_dose =3.11E+11,</t>
  </si>
  <si>
    <t>CWL1_dose =1.20E+12,matC_dose =5.20E+12,OFD_dose =3.11E+11,</t>
  </si>
  <si>
    <t>CWL1_dose =1.10E+12,matC_dose =5.30E+12,OFD_dose =3.11E+11,</t>
  </si>
  <si>
    <t>CWL1_dose =1.20E+12,matC_dose =5.30E+12,OFD_dose =3.11E+11,</t>
  </si>
  <si>
    <t>CWL1_dose =1.10E+12,matC_dose =5.40E+12,OFD_dose =3.11E+11,</t>
  </si>
  <si>
    <t>CWL1_dose =1.20E+12,matC_dose =5.40E+12,OFD_dose =3.11E+11,</t>
  </si>
  <si>
    <t>CWL1_dose =1.10E+12,matC_dose =5.20E+12,OFD_dose =3.30E+11,</t>
  </si>
  <si>
    <t>CWL1_dose =1.20E+12,matC_dose =5.20E+12,OFD_dose =3.30E+11,</t>
  </si>
  <si>
    <t>CWL1_dose =1.10E+12,matC_dose =5.30E+12,OFD_dose =3.30E+11,</t>
  </si>
  <si>
    <t>CWL1_dose =1.20E+12,matC_dose =5.30E+12,OFD_dose =3.30E+11,</t>
  </si>
  <si>
    <t>CWL1_dose =1.10E+12,matC_dose =5.40E+12,OFD_dose =3.30E+11,</t>
  </si>
  <si>
    <t>CWL1_dose =1.20E+12,matC_dose =5.40E+12,OFD_dose =3.30E+11,</t>
  </si>
  <si>
    <t>■散布図</t>
  </si>
  <si>
    <t>グルーピング</t>
  </si>
  <si>
    <t>X軸</t>
  </si>
  <si>
    <t>Y軸=toku1</t>
  </si>
  <si>
    <t>Y軸=tokuA</t>
  </si>
  <si>
    <t>Y軸=SRpot</t>
  </si>
  <si>
    <t>Y軸=Qs02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</si>
</sst>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0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6" fillId="0" borderId="0" xfId="0" applyFont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E-48A3-8701-35C1CA52C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17200"/>
        <c:axId val="475421136"/>
      </c:lineChart>
      <c:catAx>
        <c:axId val="47541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421136"/>
        <c:crosses val="autoZero"/>
        <c:auto val="1"/>
        <c:lblAlgn val="ctr"/>
        <c:lblOffset val="100"/>
        <c:noMultiLvlLbl val="0"/>
      </c:catAx>
      <c:valAx>
        <c:axId val="4754211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475417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68-4C34-872F-2177D730A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17200"/>
        <c:axId val="475421136"/>
      </c:lineChart>
      <c:catAx>
        <c:axId val="47541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421136"/>
        <c:crosses val="autoZero"/>
        <c:auto val="1"/>
        <c:lblAlgn val="ctr"/>
        <c:lblOffset val="100"/>
        <c:noMultiLvlLbl val="0"/>
      </c:catAx>
      <c:valAx>
        <c:axId val="4754211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475417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0-4631-A548-00252A446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17200"/>
        <c:axId val="475421136"/>
      </c:lineChart>
      <c:catAx>
        <c:axId val="47541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421136"/>
        <c:crosses val="autoZero"/>
        <c:auto val="1"/>
        <c:lblAlgn val="ctr"/>
        <c:lblOffset val="100"/>
        <c:noMultiLvlLbl val="0"/>
      </c:catAx>
      <c:valAx>
        <c:axId val="4754211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475417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7-41B7-BF61-175D5077B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17200"/>
        <c:axId val="475421136"/>
      </c:lineChart>
      <c:catAx>
        <c:axId val="47541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421136"/>
        <c:crosses val="autoZero"/>
        <c:auto val="1"/>
        <c:lblAlgn val="ctr"/>
        <c:lblOffset val="100"/>
        <c:noMultiLvlLbl val="0"/>
      </c:catAx>
      <c:valAx>
        <c:axId val="4754211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475417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=1.10E+12,matC_dose =5.20E+12,OFD_dose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8-40BB-AFA1-7431D854089B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=1.20E+12,matC_dose =5.20E+12,OFD_dose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8-40BB-AFA1-7431D854089B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=1.10E+12,matC_dose =5.30E+12,OFD_dose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  <c:pt idx="0">
                  <c:v>0.65100000000000002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8-40BB-AFA1-7431D854089B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=1.20E+12,matC_dose =5.30E+12,OFD_dose =3.11E+11,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8-40BB-AFA1-7431D854089B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=1.10E+12,matC_dose =5.40E+12,OFD_dose =3.11E+11,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1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48-40BB-AFA1-7431D854089B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=1.20E+12,matC_dose =5.40E+12,OFD_dose =3.11E+11,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48-40BB-AFA1-7431D854089B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=1.10E+12,matC_dose =5.20E+12,OFD_dose =3.30E+11,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148-40BB-AFA1-7431D854089B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=1.20E+12,matC_dose =5.20E+12,OFD_dose =3.30E+11,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  <c:pt idx="1">
                  <c:v>0.65500000000000003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148-40BB-AFA1-7431D854089B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=1.10E+12,matC_dose =5.30E+12,OFD_dose =3.30E+11,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148-40BB-AFA1-7431D854089B}"/>
            </c:ext>
          </c:extLst>
        </c:ser>
        <c:ser>
          <c:idx val="9"/>
          <c:order val="9"/>
          <c:tx>
            <c:strRef>
              <c:f>散布図!$K$6</c:f>
              <c:strCache>
                <c:ptCount val="1"/>
                <c:pt idx="0">
                  <c:v>CWL1_dose =1.20E+12,matC_dose =5.30E+12,OFD_dose =3.30E+11,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散布図!$K$7:$K$9</c:f>
              <c:numCache>
                <c:formatCode>General</c:formatCode>
                <c:ptCount val="3"/>
                <c:pt idx="1">
                  <c:v>0.65700000000000003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148-40BB-AFA1-7431D854089B}"/>
            </c:ext>
          </c:extLst>
        </c:ser>
        <c:ser>
          <c:idx val="10"/>
          <c:order val="10"/>
          <c:tx>
            <c:strRef>
              <c:f>散布図!$L$6</c:f>
              <c:strCache>
                <c:ptCount val="1"/>
                <c:pt idx="0">
                  <c:v>CWL1_dose =1.10E+12,matC_dose =5.40E+12,OFD_dose =3.30E+11,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散布図!$L$7:$L$9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148-40BB-AFA1-7431D854089B}"/>
            </c:ext>
          </c:extLst>
        </c:ser>
        <c:ser>
          <c:idx val="11"/>
          <c:order val="11"/>
          <c:tx>
            <c:strRef>
              <c:f>散布図!$M$6</c:f>
              <c:strCache>
                <c:ptCount val="1"/>
                <c:pt idx="0">
                  <c:v>CWL1_dose =1.20E+12,matC_dose =5.40E+12,OFD_dose =3.30E+11,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散布図!$M$7:$M$9</c:f>
              <c:numCache>
                <c:formatCode>General</c:formatCode>
                <c:ptCount val="3"/>
                <c:pt idx="1">
                  <c:v>0.65900000000000003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148-40BB-AFA1-7431D8540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=1.10E+12,matC_dose =5.20E+12,OFD_dose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E-4FE9-99F5-F9E189B8AA7A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=1.20E+12,matC_dose =5.20E+12,OFD_dose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2E-4FE9-99F5-F9E189B8AA7A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=1.10E+12,matC_dose =5.30E+12,OFD_dose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  <c:pt idx="0">
                  <c:v>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2E-4FE9-99F5-F9E189B8AA7A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=1.20E+12,matC_dose =5.30E+12,OFD_dose =3.11E+11,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2E-4FE9-99F5-F9E189B8AA7A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=1.10E+12,matC_dose =5.40E+12,OFD_dose =3.11E+11,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1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2E-4FE9-99F5-F9E189B8AA7A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=1.20E+12,matC_dose =5.40E+12,OFD_dose =3.11E+11,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2E-4FE9-99F5-F9E189B8AA7A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=1.10E+12,matC_dose =5.20E+12,OFD_dose =3.30E+11,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2E-4FE9-99F5-F9E189B8AA7A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=1.20E+12,matC_dose =5.20E+12,OFD_dose =3.30E+11,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  <c:pt idx="1">
                  <c:v>2.0299999999999998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2E-4FE9-99F5-F9E189B8AA7A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=1.10E+12,matC_dose =5.30E+12,OFD_dose =3.30E+11,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2E-4FE9-99F5-F9E189B8AA7A}"/>
            </c:ext>
          </c:extLst>
        </c:ser>
        <c:ser>
          <c:idx val="9"/>
          <c:order val="9"/>
          <c:tx>
            <c:strRef>
              <c:f>散布図!$K$14</c:f>
              <c:strCache>
                <c:ptCount val="1"/>
                <c:pt idx="0">
                  <c:v>CWL1_dose =1.20E+12,matC_dose =5.30E+12,OFD_dose =3.30E+11,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散布図!$K$15:$K$17</c:f>
              <c:numCache>
                <c:formatCode>General</c:formatCode>
                <c:ptCount val="3"/>
                <c:pt idx="1">
                  <c:v>1.93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2E-4FE9-99F5-F9E189B8AA7A}"/>
            </c:ext>
          </c:extLst>
        </c:ser>
        <c:ser>
          <c:idx val="10"/>
          <c:order val="10"/>
          <c:tx>
            <c:strRef>
              <c:f>散布図!$L$14</c:f>
              <c:strCache>
                <c:ptCount val="1"/>
                <c:pt idx="0">
                  <c:v>CWL1_dose =1.10E+12,matC_dose =5.40E+12,OFD_dose =3.30E+11,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散布図!$L$15:$L$17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2E-4FE9-99F5-F9E189B8AA7A}"/>
            </c:ext>
          </c:extLst>
        </c:ser>
        <c:ser>
          <c:idx val="11"/>
          <c:order val="11"/>
          <c:tx>
            <c:strRef>
              <c:f>散布図!$M$14</c:f>
              <c:strCache>
                <c:ptCount val="1"/>
                <c:pt idx="0">
                  <c:v>CWL1_dose =1.20E+12,matC_dose =5.40E+12,OFD_dose =3.30E+11,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散布図!$M$15:$M$17</c:f>
              <c:numCache>
                <c:formatCode>General</c:formatCode>
                <c:ptCount val="3"/>
                <c:pt idx="1">
                  <c:v>1.83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2E-4FE9-99F5-F9E189B8A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=1.10E+12,matC_dose =5.20E+12,OFD_dose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30-4202-AE2A-03CA3A475888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=1.20E+12,matC_dose =5.20E+12,OFD_dose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30-4202-AE2A-03CA3A475888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=1.10E+12,matC_dose =5.30E+12,OFD_dose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  <c:pt idx="0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30-4202-AE2A-03CA3A475888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=1.20E+12,matC_dose =5.30E+12,OFD_dose =3.11E+11,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30-4202-AE2A-03CA3A475888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=1.10E+12,matC_dose =5.40E+12,OFD_dose =3.11E+11,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1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30-4202-AE2A-03CA3A475888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=1.20E+12,matC_dose =5.40E+12,OFD_dose =3.11E+11,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30-4202-AE2A-03CA3A475888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=1.10E+12,matC_dose =5.20E+12,OFD_dose =3.30E+11,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30-4202-AE2A-03CA3A475888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=1.20E+12,matC_dose =5.20E+12,OFD_dose =3.30E+11,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  <c:pt idx="1">
                  <c:v>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30-4202-AE2A-03CA3A475888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=1.10E+12,matC_dose =5.30E+12,OFD_dose =3.30E+11,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D30-4202-AE2A-03CA3A475888}"/>
            </c:ext>
          </c:extLst>
        </c:ser>
        <c:ser>
          <c:idx val="9"/>
          <c:order val="9"/>
          <c:tx>
            <c:strRef>
              <c:f>散布図!$K$22</c:f>
              <c:strCache>
                <c:ptCount val="1"/>
                <c:pt idx="0">
                  <c:v>CWL1_dose =1.20E+12,matC_dose =5.30E+12,OFD_dose =3.30E+11,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散布図!$K$23:$K$25</c:f>
              <c:numCache>
                <c:formatCode>General</c:formatCode>
                <c:ptCount val="3"/>
                <c:pt idx="1">
                  <c:v>2.37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D30-4202-AE2A-03CA3A475888}"/>
            </c:ext>
          </c:extLst>
        </c:ser>
        <c:ser>
          <c:idx val="10"/>
          <c:order val="10"/>
          <c:tx>
            <c:strRef>
              <c:f>散布図!$L$22</c:f>
              <c:strCache>
                <c:ptCount val="1"/>
                <c:pt idx="0">
                  <c:v>CWL1_dose =1.10E+12,matC_dose =5.40E+12,OFD_dose =3.30E+11,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散布図!$L$23:$L$25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D30-4202-AE2A-03CA3A475888}"/>
            </c:ext>
          </c:extLst>
        </c:ser>
        <c:ser>
          <c:idx val="11"/>
          <c:order val="11"/>
          <c:tx>
            <c:strRef>
              <c:f>散布図!$M$22</c:f>
              <c:strCache>
                <c:ptCount val="1"/>
                <c:pt idx="0">
                  <c:v>CWL1_dose =1.20E+12,matC_dose =5.40E+12,OFD_dose =3.30E+11,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散布図!$M$23:$M$25</c:f>
              <c:numCache>
                <c:formatCode>General</c:formatCode>
                <c:ptCount val="3"/>
                <c:pt idx="1">
                  <c:v>2.39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D30-4202-AE2A-03CA3A475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=1.10E+12,matC_dose =5.20E+12,OFD_dose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4-4916-9FA9-D26878BE179E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=1.20E+12,matC_dose =5.20E+12,OFD_dose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4-4916-9FA9-D26878BE179E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=1.10E+12,matC_dose =5.30E+12,OFD_dose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  <c:pt idx="0">
                  <c:v>0.40100000000000002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44-4916-9FA9-D26878BE179E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=1.20E+12,matC_dose =5.30E+12,OFD_dose =3.11E+11,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44-4916-9FA9-D26878BE179E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=1.10E+12,matC_dose =5.40E+12,OFD_dose =3.11E+11,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1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44-4916-9FA9-D26878BE179E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=1.20E+12,matC_dose =5.40E+12,OFD_dose =3.11E+11,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44-4916-9FA9-D26878BE179E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=1.10E+12,matC_dose =5.20E+12,OFD_dose =3.30E+11,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44-4916-9FA9-D26878BE179E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=1.20E+12,matC_dose =5.20E+12,OFD_dose =3.30E+11,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  <c:pt idx="1">
                  <c:v>0.397666666666667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44-4916-9FA9-D26878BE179E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=1.10E+12,matC_dose =5.30E+12,OFD_dose =3.30E+11,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44-4916-9FA9-D26878BE179E}"/>
            </c:ext>
          </c:extLst>
        </c:ser>
        <c:ser>
          <c:idx val="9"/>
          <c:order val="9"/>
          <c:tx>
            <c:strRef>
              <c:f>散布図!$K$30</c:f>
              <c:strCache>
                <c:ptCount val="1"/>
                <c:pt idx="0">
                  <c:v>CWL1_dose =1.20E+12,matC_dose =5.30E+12,OFD_dose =3.30E+11,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散布図!$K$31:$K$33</c:f>
              <c:numCache>
                <c:formatCode>General</c:formatCode>
                <c:ptCount val="3"/>
                <c:pt idx="1">
                  <c:v>0.396666666666667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44-4916-9FA9-D26878BE179E}"/>
            </c:ext>
          </c:extLst>
        </c:ser>
        <c:ser>
          <c:idx val="10"/>
          <c:order val="10"/>
          <c:tx>
            <c:strRef>
              <c:f>散布図!$L$30</c:f>
              <c:strCache>
                <c:ptCount val="1"/>
                <c:pt idx="0">
                  <c:v>CWL1_dose =1.10E+12,matC_dose =5.40E+12,OFD_dose =3.30E+11,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散布図!$L$31:$L$33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44-4916-9FA9-D26878BE179E}"/>
            </c:ext>
          </c:extLst>
        </c:ser>
        <c:ser>
          <c:idx val="11"/>
          <c:order val="11"/>
          <c:tx>
            <c:strRef>
              <c:f>散布図!$M$30</c:f>
              <c:strCache>
                <c:ptCount val="1"/>
                <c:pt idx="0">
                  <c:v>CWL1_dose =1.20E+12,matC_dose =5.40E+12,OFD_dose =3.30E+11,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-1.1000000000000001</c:v>
                </c:pt>
                <c:pt idx="1">
                  <c:v>-1.2</c:v>
                </c:pt>
                <c:pt idx="2">
                  <c:v>-1.3</c:v>
                </c:pt>
              </c:numCache>
            </c:numRef>
          </c:xVal>
          <c:yVal>
            <c:numRef>
              <c:f>散布図!$M$31:$M$33</c:f>
              <c:numCache>
                <c:formatCode>General</c:formatCode>
                <c:ptCount val="3"/>
                <c:pt idx="1">
                  <c:v>0.395666666666667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44-4916-9FA9-D26878BE1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work_scatter2!$G$5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work_scatter2!$G$6:$G$9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D-4F1A-A2BE-44CA41D5855B}"/>
            </c:ext>
          </c:extLst>
        </c:ser>
        <c:ser>
          <c:idx val="1"/>
          <c:order val="1"/>
          <c:tx>
            <c:strRef>
              <c:f>work_scatter2!$H$5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work_scatter2!$H$6:$H$9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D-4F1A-A2BE-44CA41D5855B}"/>
            </c:ext>
          </c:extLst>
        </c:ser>
        <c:ser>
          <c:idx val="2"/>
          <c:order val="2"/>
          <c:tx>
            <c:strRef>
              <c:f>work_scatter2!$I$5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work_scatter2!$I$6:$I$9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CD-4F1A-A2BE-44CA41D5855B}"/>
            </c:ext>
          </c:extLst>
        </c:ser>
        <c:ser>
          <c:idx val="3"/>
          <c:order val="3"/>
          <c:tx>
            <c:strRef>
              <c:f>work_scatter2!$J$5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work_scatter2!$J$6:$J$9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CD-4F1A-A2BE-44CA41D58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6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390525</xdr:rowOff>
        </xdr:from>
        <xdr:to>
          <xdr:col>15</xdr:col>
          <xdr:colOff>104775</xdr:colOff>
          <xdr:row>2</xdr:row>
          <xdr:rowOff>19050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4" name="sim_graph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13" name="グラフ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15" name="グラフ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2</xdr:row>
      <xdr:rowOff>142875</xdr:rowOff>
    </xdr:from>
    <xdr:to>
      <xdr:col>11</xdr:col>
      <xdr:colOff>200025</xdr:colOff>
      <xdr:row>18</xdr:row>
      <xdr:rowOff>161925</xdr:rowOff>
    </xdr:to>
    <xdr:graphicFrame macro="">
      <xdr:nvGraphicFramePr>
        <xdr:cNvPr id="7" name="graph_scatter_01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8" name="graph_scatter_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9" name="graph_scatter_3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10" name="graph_scatter_4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180975</xdr:colOff>
      <xdr:row>0</xdr:row>
      <xdr:rowOff>171450</xdr:rowOff>
    </xdr:from>
    <xdr:to>
      <xdr:col>20</xdr:col>
      <xdr:colOff>14287</xdr:colOff>
      <xdr:row>10</xdr:row>
      <xdr:rowOff>180975</xdr:rowOff>
    </xdr:to>
    <xdr:graphicFrame macro="">
      <xdr:nvGraphicFramePr>
        <xdr:cNvPr id="5" name="scatter_graph_template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73</v>
      </c>
    </row>
    <row r="2" spans="1:22">
      <c r="A2" s="13" t="s">
        <v>74</v>
      </c>
    </row>
    <row r="10" spans="1:22" ht="45.75" customHeight="1"/>
    <row r="11" spans="1:22" ht="45.75" customHeight="1"/>
    <row r="12" spans="1:22">
      <c r="A12" s="32" t="s">
        <v>72</v>
      </c>
      <c r="B12" s="30"/>
      <c r="C12" s="30"/>
      <c r="D12" s="30" t="s">
        <v>75</v>
      </c>
      <c r="E12" s="30"/>
      <c r="F12" s="30"/>
      <c r="I12" s="30"/>
      <c r="J12" s="30" t="s">
        <v>145</v>
      </c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>
      <c r="A13" s="30"/>
      <c r="B13" s="30"/>
      <c r="C13" s="30"/>
      <c r="D13" s="30" t="s">
        <v>144</v>
      </c>
      <c r="E13" s="30"/>
      <c r="F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2">
      <c r="A14" s="30"/>
      <c r="B14" s="30">
        <v>6</v>
      </c>
      <c r="C14" s="30"/>
      <c r="D14" s="33"/>
      <c r="E14" s="34" t="s">
        <v>0</v>
      </c>
      <c r="F14" s="34" t="s">
        <v>156</v>
      </c>
      <c r="G14" s="30"/>
      <c r="H14" s="30"/>
      <c r="J14" s="16" t="s">
        <v>148</v>
      </c>
      <c r="K14" s="16" t="s">
        <v>147</v>
      </c>
      <c r="L14" s="16" t="s">
        <v>148</v>
      </c>
      <c r="M14" s="16" t="s">
        <v>137</v>
      </c>
      <c r="N14" s="16" t="s">
        <v>148</v>
      </c>
      <c r="O14" s="16" t="s">
        <v>139</v>
      </c>
      <c r="P14" s="16" t="s">
        <v>148</v>
      </c>
      <c r="Q14" s="16" t="s">
        <v>140</v>
      </c>
      <c r="R14" s="16" t="s">
        <v>148</v>
      </c>
      <c r="S14" s="16" t="s">
        <v>141</v>
      </c>
      <c r="T14" s="16" t="s">
        <v>148</v>
      </c>
      <c r="U14" s="16" t="s">
        <v>142</v>
      </c>
      <c r="V14" s="30"/>
    </row>
    <row r="15" spans="1:22">
      <c r="A15" s="30"/>
      <c r="B15" s="30"/>
      <c r="C15" s="30"/>
      <c r="D15" s="14" t="s">
        <v>149</v>
      </c>
      <c r="E15" s="14" t="s">
        <v>98</v>
      </c>
      <c r="F15" s="14" t="s">
        <v>33</v>
      </c>
      <c r="G15" s="30"/>
      <c r="H15" s="30"/>
      <c r="J15" s="14"/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1</v>
      </c>
      <c r="R15" s="14"/>
      <c r="S15" s="14">
        <v>311000000000</v>
      </c>
      <c r="T15" s="14"/>
      <c r="U15" s="14">
        <v>-1.1000000000000001</v>
      </c>
      <c r="V15" s="30"/>
    </row>
    <row r="16" spans="1:22">
      <c r="A16" s="30"/>
      <c r="B16" s="30"/>
      <c r="C16" s="30"/>
      <c r="D16" s="14" t="s">
        <v>149</v>
      </c>
      <c r="E16" s="14" t="s">
        <v>77</v>
      </c>
      <c r="F16" s="14" t="s">
        <v>33</v>
      </c>
      <c r="G16" s="30"/>
      <c r="H16" s="30"/>
      <c r="J16" s="14"/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2</v>
      </c>
      <c r="R16" s="14"/>
      <c r="S16" s="14">
        <v>330000000000</v>
      </c>
      <c r="T16" s="14"/>
      <c r="U16" s="14">
        <v>-1.2</v>
      </c>
      <c r="V16" s="30"/>
    </row>
    <row r="17" spans="1:22">
      <c r="A17" s="30"/>
      <c r="B17" s="30"/>
      <c r="C17" s="30"/>
      <c r="D17" s="14" t="s">
        <v>149</v>
      </c>
      <c r="E17" s="14" t="s">
        <v>79</v>
      </c>
      <c r="F17" s="14" t="s">
        <v>33</v>
      </c>
      <c r="G17" s="30"/>
      <c r="H17" s="30"/>
      <c r="J17" s="14"/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/>
      <c r="S17" s="14">
        <v>360000000000</v>
      </c>
      <c r="T17" s="14"/>
      <c r="U17" s="14">
        <v>-1.3</v>
      </c>
      <c r="V17" s="30"/>
    </row>
    <row r="18" spans="1:22">
      <c r="A18" s="30"/>
      <c r="B18" s="30"/>
      <c r="C18" s="30"/>
      <c r="D18" s="14" t="s">
        <v>149</v>
      </c>
      <c r="E18" s="14" t="s">
        <v>85</v>
      </c>
      <c r="F18" s="14" t="s">
        <v>157</v>
      </c>
      <c r="G18" s="30"/>
      <c r="H18" s="30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0"/>
    </row>
    <row r="19" spans="1:22">
      <c r="A19" s="30"/>
      <c r="B19" s="30"/>
      <c r="C19" s="30"/>
      <c r="D19" s="14" t="s">
        <v>149</v>
      </c>
      <c r="E19" s="14" t="s">
        <v>99</v>
      </c>
      <c r="F19" s="14" t="s">
        <v>158</v>
      </c>
      <c r="G19" s="30"/>
      <c r="H19" s="30"/>
      <c r="V19" s="30"/>
    </row>
    <row r="20" spans="1:22">
      <c r="G20" s="30"/>
      <c r="H20" s="30"/>
      <c r="V20" s="30"/>
    </row>
  </sheetData>
  <phoneticPr fontId="1"/>
  <dataValidations count="1">
    <dataValidation type="list" allowBlank="1" showInputMessage="1" showErrorMessage="1" sqref="D14:D19 J15:J19 L15:L19 N15:N19 P15:P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10</xdr:col>
                    <xdr:colOff>200025</xdr:colOff>
                    <xdr:row>0</xdr:row>
                    <xdr:rowOff>390525</xdr:rowOff>
                  </from>
                  <to>
                    <xdr:col>15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/>
  </sheetPr>
  <dimension ref="A1:H6"/>
  <sheetViews>
    <sheetView workbookViewId="0">
      <selection activeCell="E1" sqref="E1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156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39</v>
      </c>
      <c r="F2" s="2"/>
      <c r="G2" s="2"/>
      <c r="H2" s="2"/>
    </row>
    <row r="3" spans="1:8">
      <c r="A3" t="s">
        <v>78</v>
      </c>
      <c r="B3" s="2"/>
      <c r="C3" s="2" t="s">
        <v>6</v>
      </c>
      <c r="D3" s="2">
        <v>-0.16200000000000001</v>
      </c>
      <c r="E3" s="2" t="s">
        <v>33</v>
      </c>
      <c r="F3" s="2"/>
      <c r="G3" s="2"/>
      <c r="H3" s="2"/>
    </row>
    <row r="4" spans="1:8">
      <c r="A4" t="s">
        <v>80</v>
      </c>
      <c r="B4" s="2">
        <v>-0.33</v>
      </c>
      <c r="C4" s="2" t="s">
        <v>6</v>
      </c>
      <c r="D4" s="2"/>
      <c r="E4" s="2" t="s">
        <v>33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157</v>
      </c>
      <c r="F5" s="2"/>
      <c r="G5" s="2"/>
      <c r="H5" s="2" t="s">
        <v>11</v>
      </c>
    </row>
    <row r="6" spans="1:8">
      <c r="A6" t="s">
        <v>95</v>
      </c>
      <c r="B6" s="2"/>
      <c r="C6" s="2" t="s">
        <v>6</v>
      </c>
      <c r="D6" s="2">
        <v>20000</v>
      </c>
      <c r="E6" s="2" t="s">
        <v>158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7:M22"/>
  <sheetViews>
    <sheetView workbookViewId="0">
      <selection activeCell="C16" sqref="C16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7" max="7" width="9.5" bestFit="1" customWidth="1"/>
    <col min="8" max="10" width="9" customWidth="1"/>
    <col min="11" max="11" width="11" bestFit="1" customWidth="1"/>
  </cols>
  <sheetData>
    <row r="7" spans="1:13">
      <c r="B7" t="s">
        <v>29</v>
      </c>
      <c r="C7" t="s">
        <v>29</v>
      </c>
      <c r="D7" t="s">
        <v>29</v>
      </c>
      <c r="F7" t="s">
        <v>106</v>
      </c>
      <c r="G7" t="s">
        <v>106</v>
      </c>
      <c r="H7" t="s">
        <v>107</v>
      </c>
      <c r="I7" t="s">
        <v>107</v>
      </c>
      <c r="J7" t="s">
        <v>107</v>
      </c>
      <c r="K7" t="s">
        <v>107</v>
      </c>
      <c r="L7" t="s">
        <v>107</v>
      </c>
      <c r="M7" t="s">
        <v>106</v>
      </c>
    </row>
    <row r="8" spans="1:13">
      <c r="F8" t="s">
        <v>108</v>
      </c>
      <c r="G8" t="s">
        <v>111</v>
      </c>
      <c r="H8" t="s">
        <v>112</v>
      </c>
      <c r="I8" t="s">
        <v>108</v>
      </c>
      <c r="J8" t="s">
        <v>113</v>
      </c>
      <c r="K8" t="s">
        <v>109</v>
      </c>
      <c r="L8" t="s">
        <v>110</v>
      </c>
      <c r="M8" t="s">
        <v>114</v>
      </c>
    </row>
    <row r="9" spans="1:13">
      <c r="A9" t="s">
        <v>29</v>
      </c>
      <c r="F9" t="s">
        <v>15</v>
      </c>
      <c r="G9" t="s">
        <v>15</v>
      </c>
      <c r="H9" t="s">
        <v>15</v>
      </c>
      <c r="I9" t="s">
        <v>16</v>
      </c>
      <c r="J9" t="s">
        <v>15</v>
      </c>
      <c r="K9" t="s">
        <v>16</v>
      </c>
      <c r="L9" t="s">
        <v>15</v>
      </c>
      <c r="M9" t="s">
        <v>15</v>
      </c>
    </row>
    <row r="10" spans="1:13">
      <c r="E10" s="2" t="s">
        <v>12</v>
      </c>
      <c r="F10" s="2" t="s">
        <v>136</v>
      </c>
      <c r="G10" s="2" t="s">
        <v>137</v>
      </c>
      <c r="H10" s="2" t="s">
        <v>138</v>
      </c>
      <c r="I10" s="2" t="s">
        <v>139</v>
      </c>
      <c r="J10" s="2" t="s">
        <v>140</v>
      </c>
      <c r="K10" s="2" t="s">
        <v>141</v>
      </c>
      <c r="L10" s="2" t="s">
        <v>142</v>
      </c>
      <c r="M10" s="2" t="s">
        <v>143</v>
      </c>
    </row>
    <row r="11" spans="1:13">
      <c r="E11" s="2" t="s">
        <v>23</v>
      </c>
      <c r="F11" s="1">
        <v>1100000000000</v>
      </c>
      <c r="G11" s="1">
        <v>200000000000</v>
      </c>
      <c r="H11" s="2">
        <v>1</v>
      </c>
      <c r="I11" s="24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24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25</v>
      </c>
      <c r="F13" s="1">
        <v>1100000000000</v>
      </c>
      <c r="G13" s="1">
        <v>200000000000</v>
      </c>
      <c r="H13" s="2">
        <v>1</v>
      </c>
      <c r="I13" s="28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</v>
      </c>
      <c r="F14" s="4">
        <v>1200000000000</v>
      </c>
      <c r="G14" s="1">
        <v>200000000000</v>
      </c>
      <c r="H14" s="2">
        <v>1</v>
      </c>
      <c r="I14" s="24">
        <v>5200000000000</v>
      </c>
      <c r="J14" s="2">
        <v>1</v>
      </c>
      <c r="K14" s="25">
        <v>330000000000</v>
      </c>
      <c r="L14" s="17">
        <v>-1.2</v>
      </c>
      <c r="M14" s="2">
        <v>2</v>
      </c>
    </row>
    <row r="15" spans="1:13">
      <c r="E15" s="2" t="s">
        <v>27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5">
        <v>330000000000</v>
      </c>
      <c r="L15" s="17">
        <v>-1.2</v>
      </c>
      <c r="M15" s="2">
        <v>2</v>
      </c>
    </row>
    <row r="16" spans="1:13">
      <c r="E16" s="2" t="s">
        <v>28</v>
      </c>
      <c r="F16" s="4">
        <v>1200000000000</v>
      </c>
      <c r="G16" s="1">
        <v>200000000000</v>
      </c>
      <c r="H16" s="2">
        <v>1</v>
      </c>
      <c r="I16" s="28">
        <v>5400000000000</v>
      </c>
      <c r="J16" s="20">
        <v>3</v>
      </c>
      <c r="K16" s="25">
        <v>330000000000</v>
      </c>
      <c r="L16" s="17">
        <v>-1.2</v>
      </c>
      <c r="M16" s="2">
        <v>2</v>
      </c>
    </row>
    <row r="17" spans="5:13">
      <c r="E17" s="2" t="s">
        <v>83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5">
        <v>330000000000</v>
      </c>
      <c r="L17" s="18">
        <v>-1.3</v>
      </c>
      <c r="M17" s="2">
        <v>2</v>
      </c>
    </row>
    <row r="18" spans="5:13">
      <c r="E18" s="2" t="s">
        <v>84</v>
      </c>
      <c r="F18" s="4">
        <v>1300000000000</v>
      </c>
      <c r="G18" s="26">
        <v>300000000000</v>
      </c>
      <c r="H18" s="2">
        <v>1</v>
      </c>
      <c r="I18" s="24">
        <v>5200000000000</v>
      </c>
      <c r="J18" s="19">
        <v>2</v>
      </c>
      <c r="K18" s="25">
        <v>330000000000</v>
      </c>
      <c r="L18" s="18">
        <v>-1.3</v>
      </c>
      <c r="M18" s="2">
        <v>2</v>
      </c>
    </row>
    <row r="19" spans="5:13">
      <c r="E19" s="2" t="s">
        <v>121</v>
      </c>
      <c r="F19" s="4">
        <v>1300000000000</v>
      </c>
      <c r="G19" s="26">
        <v>300000000000</v>
      </c>
      <c r="H19" s="2">
        <v>1</v>
      </c>
      <c r="I19" s="22">
        <v>5300000000000</v>
      </c>
      <c r="J19" s="20">
        <v>3</v>
      </c>
      <c r="K19" s="25">
        <v>330000000000</v>
      </c>
      <c r="L19" s="18">
        <v>-1.3</v>
      </c>
      <c r="M19" s="2">
        <v>2</v>
      </c>
    </row>
    <row r="20" spans="5:13">
      <c r="E20" s="2" t="s">
        <v>122</v>
      </c>
      <c r="F20" s="4">
        <v>1300000000000</v>
      </c>
      <c r="G20" s="26">
        <v>300000000000</v>
      </c>
      <c r="H20" s="2">
        <v>1</v>
      </c>
      <c r="I20" s="28">
        <v>5400000000000</v>
      </c>
      <c r="J20" s="2">
        <v>1</v>
      </c>
      <c r="K20" s="25">
        <v>330000000000</v>
      </c>
      <c r="L20" s="18">
        <v>-1.3</v>
      </c>
      <c r="M20" s="2">
        <v>2</v>
      </c>
    </row>
    <row r="21" spans="5:13">
      <c r="E21" s="2" t="s">
        <v>123</v>
      </c>
      <c r="F21" s="4">
        <v>1300000000000</v>
      </c>
      <c r="G21" s="26">
        <v>300000000000</v>
      </c>
      <c r="H21" s="2">
        <v>1</v>
      </c>
      <c r="I21" s="24">
        <v>5200000000000</v>
      </c>
      <c r="J21" s="19">
        <v>2</v>
      </c>
      <c r="K21" s="27">
        <v>360000000000</v>
      </c>
      <c r="L21" s="18">
        <v>-1.3</v>
      </c>
      <c r="M21" s="2">
        <v>2</v>
      </c>
    </row>
    <row r="22" spans="5:13">
      <c r="E22" s="2" t="s">
        <v>124</v>
      </c>
      <c r="F22" s="4">
        <v>1400000000000</v>
      </c>
      <c r="G22" s="26">
        <v>300000000000</v>
      </c>
      <c r="H22" s="2">
        <v>1</v>
      </c>
      <c r="I22" s="22">
        <v>5300000000000</v>
      </c>
      <c r="J22" s="20">
        <v>3</v>
      </c>
      <c r="K22" s="27">
        <v>360000000000</v>
      </c>
      <c r="L22" s="18">
        <v>-1.3</v>
      </c>
      <c r="M22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36</v>
      </c>
      <c r="G1" t="s">
        <v>39</v>
      </c>
      <c r="H1" t="s">
        <v>96</v>
      </c>
      <c r="I1" t="s">
        <v>44</v>
      </c>
      <c r="J1" t="s">
        <v>44</v>
      </c>
      <c r="K1" t="s">
        <v>44</v>
      </c>
      <c r="L1" t="s">
        <v>44</v>
      </c>
      <c r="M1" t="s">
        <v>97</v>
      </c>
      <c r="N1" t="s">
        <v>33</v>
      </c>
      <c r="O1" t="s">
        <v>44</v>
      </c>
      <c r="P1" t="s">
        <v>158</v>
      </c>
      <c r="Q1" t="s">
        <v>158</v>
      </c>
    </row>
    <row r="2" spans="1:17">
      <c r="A2" s="5" t="s">
        <v>30</v>
      </c>
      <c r="B2" t="s">
        <v>14</v>
      </c>
      <c r="C2" t="s">
        <v>13</v>
      </c>
      <c r="D2" t="s">
        <v>57</v>
      </c>
      <c r="E2" t="s">
        <v>105</v>
      </c>
      <c r="F2" s="5" t="s">
        <v>94</v>
      </c>
      <c r="G2" t="s">
        <v>38</v>
      </c>
      <c r="H2" t="s">
        <v>45</v>
      </c>
      <c r="I2" t="s">
        <v>46</v>
      </c>
      <c r="J2" t="s">
        <v>47</v>
      </c>
      <c r="K2" t="s">
        <v>48</v>
      </c>
      <c r="L2" t="s">
        <v>49</v>
      </c>
      <c r="M2" t="s">
        <v>50</v>
      </c>
      <c r="N2" t="s">
        <v>51</v>
      </c>
      <c r="O2" t="s">
        <v>89</v>
      </c>
      <c r="P2" t="s">
        <v>115</v>
      </c>
      <c r="Q2" t="s">
        <v>116</v>
      </c>
    </row>
    <row r="3" spans="1:17">
      <c r="A3" s="5" t="s">
        <v>31</v>
      </c>
      <c r="B3" s="1" t="s">
        <v>34</v>
      </c>
      <c r="C3" s="1" t="s">
        <v>34</v>
      </c>
      <c r="D3" s="1" t="s">
        <v>34</v>
      </c>
      <c r="E3" s="1" t="s">
        <v>34</v>
      </c>
      <c r="F3" s="5" t="s">
        <v>30</v>
      </c>
      <c r="G3" t="s">
        <v>78</v>
      </c>
      <c r="H3" t="s">
        <v>80</v>
      </c>
      <c r="I3" t="s">
        <v>82</v>
      </c>
      <c r="J3" t="s">
        <v>7</v>
      </c>
      <c r="K3" t="s">
        <v>40</v>
      </c>
      <c r="L3" t="s">
        <v>41</v>
      </c>
      <c r="M3" s="21" t="s">
        <v>5</v>
      </c>
      <c r="N3" t="s">
        <v>87</v>
      </c>
      <c r="O3" t="s">
        <v>88</v>
      </c>
      <c r="P3" t="s">
        <v>86</v>
      </c>
      <c r="Q3" t="s">
        <v>95</v>
      </c>
    </row>
    <row r="4" spans="1:17">
      <c r="A4" s="5" t="s">
        <v>32</v>
      </c>
      <c r="B4" t="s">
        <v>35</v>
      </c>
      <c r="C4" t="s">
        <v>35</v>
      </c>
      <c r="D4" t="s">
        <v>35</v>
      </c>
      <c r="E4" t="s">
        <v>35</v>
      </c>
      <c r="F4" s="5" t="s">
        <v>37</v>
      </c>
      <c r="G4" t="s">
        <v>42</v>
      </c>
      <c r="H4" t="s">
        <v>43</v>
      </c>
      <c r="I4" t="s">
        <v>43</v>
      </c>
      <c r="J4" t="s">
        <v>91</v>
      </c>
      <c r="K4" t="s">
        <v>92</v>
      </c>
      <c r="L4" t="s">
        <v>93</v>
      </c>
      <c r="M4" t="s">
        <v>90</v>
      </c>
      <c r="N4" t="s">
        <v>90</v>
      </c>
      <c r="O4" t="s">
        <v>90</v>
      </c>
      <c r="P4" t="s">
        <v>158</v>
      </c>
      <c r="Q4" t="s">
        <v>158</v>
      </c>
    </row>
    <row r="5" spans="1:17">
      <c r="A5" t="s">
        <v>17</v>
      </c>
      <c r="B5" s="1">
        <v>1100000000000</v>
      </c>
      <c r="C5" s="1">
        <v>200000000000</v>
      </c>
      <c r="D5">
        <f>311000000000</f>
        <v>311000000000</v>
      </c>
      <c r="E5" s="24">
        <v>5200000000000</v>
      </c>
      <c r="F5" t="s">
        <v>17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18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18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19</v>
      </c>
      <c r="B7" s="1">
        <v>1100000000000</v>
      </c>
      <c r="C7" s="1">
        <v>200000000000</v>
      </c>
      <c r="D7">
        <f>311000000000</f>
        <v>311000000000</v>
      </c>
      <c r="E7" s="28">
        <v>5400000000000</v>
      </c>
      <c r="F7" t="s">
        <v>19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20</v>
      </c>
      <c r="B8" s="4">
        <v>1200000000000</v>
      </c>
      <c r="C8" s="1">
        <v>200000000000</v>
      </c>
      <c r="D8" s="25">
        <v>330000000000</v>
      </c>
      <c r="E8" s="24">
        <v>5200000000000</v>
      </c>
      <c r="F8" t="s">
        <v>20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21</v>
      </c>
      <c r="B9" s="4">
        <v>1200000000000</v>
      </c>
      <c r="C9" s="1">
        <v>200000000000</v>
      </c>
      <c r="D9" s="25">
        <v>330000000000</v>
      </c>
      <c r="E9" s="22">
        <v>5300000000000</v>
      </c>
      <c r="F9" t="s">
        <v>21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22</v>
      </c>
      <c r="B10" s="4">
        <v>1200000000000</v>
      </c>
      <c r="C10" s="1">
        <v>200000000000</v>
      </c>
      <c r="D10" s="25">
        <v>330000000000</v>
      </c>
      <c r="E10" s="28">
        <v>5400000000000</v>
      </c>
      <c r="F10" t="s">
        <v>22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100</v>
      </c>
      <c r="B11" s="4">
        <v>1200000000000</v>
      </c>
      <c r="C11" s="1">
        <v>200000000000</v>
      </c>
      <c r="D11" s="25">
        <v>330000000000</v>
      </c>
      <c r="E11" s="23">
        <v>5500000000000</v>
      </c>
      <c r="F11" t="s">
        <v>100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101</v>
      </c>
      <c r="B12" s="4">
        <v>1300000000000</v>
      </c>
      <c r="C12" s="26">
        <v>300000000000</v>
      </c>
      <c r="D12" s="25">
        <v>330000000000</v>
      </c>
      <c r="E12" s="24">
        <v>5200000000000</v>
      </c>
      <c r="F12" t="s">
        <v>101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117</v>
      </c>
      <c r="B13" s="4">
        <v>1300000000000</v>
      </c>
      <c r="C13" s="26">
        <v>300000000000</v>
      </c>
      <c r="D13" s="25">
        <v>330000000000</v>
      </c>
      <c r="E13" s="22">
        <v>5300000000000</v>
      </c>
      <c r="F13" t="s">
        <v>117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118</v>
      </c>
      <c r="B14" s="4">
        <v>1300000000000</v>
      </c>
      <c r="C14" s="26">
        <v>300000000000</v>
      </c>
      <c r="D14" s="25">
        <v>330000000000</v>
      </c>
      <c r="E14" s="28">
        <v>5400000000000</v>
      </c>
      <c r="F14" t="s">
        <v>118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119</v>
      </c>
      <c r="B15" s="4">
        <v>1300000000000</v>
      </c>
      <c r="C15" s="26">
        <v>300000000000</v>
      </c>
      <c r="D15" s="27">
        <v>360000000000</v>
      </c>
      <c r="E15" s="24">
        <v>5200000000000</v>
      </c>
      <c r="F15" t="s">
        <v>119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120</v>
      </c>
      <c r="B16" s="4">
        <v>1300000000000</v>
      </c>
      <c r="C16" s="26">
        <v>300000000000</v>
      </c>
      <c r="D16" s="27">
        <v>360000000000</v>
      </c>
      <c r="E16" s="22">
        <v>5300000000000</v>
      </c>
      <c r="F16" t="s">
        <v>120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E13"/>
  <sheetViews>
    <sheetView zoomScale="85" zoomScaleNormal="85" workbookViewId="0">
      <selection activeCell="B45" sqref="B45"/>
    </sheetView>
  </sheetViews>
  <sheetFormatPr defaultRowHeight="18.75"/>
  <sheetData>
    <row r="1" spans="1:5">
      <c r="A1" s="5" t="s">
        <v>30</v>
      </c>
      <c r="B1" t="s">
        <v>78</v>
      </c>
      <c r="C1" t="s">
        <v>7</v>
      </c>
      <c r="D1" s="21" t="s">
        <v>5</v>
      </c>
      <c r="E1" t="s">
        <v>95</v>
      </c>
    </row>
    <row r="2" spans="1:5">
      <c r="A2" t="s">
        <v>17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18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19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20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21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22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100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101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117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118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119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120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M33"/>
  <sheetViews>
    <sheetView zoomScaleNormal="100" workbookViewId="0">
      <selection activeCell="D19" sqref="D19"/>
    </sheetView>
  </sheetViews>
  <sheetFormatPr defaultRowHeight="18.75"/>
  <sheetData>
    <row r="1" spans="1:13">
      <c r="A1" t="s">
        <v>187</v>
      </c>
    </row>
    <row r="4" spans="1:13">
      <c r="A4" t="s">
        <v>190</v>
      </c>
    </row>
    <row r="5" spans="1:13">
      <c r="B5" t="s">
        <v>188</v>
      </c>
    </row>
    <row r="6" spans="1:13">
      <c r="A6" t="s">
        <v>189</v>
      </c>
      <c r="B6" t="s">
        <v>175</v>
      </c>
      <c r="C6" t="s">
        <v>176</v>
      </c>
      <c r="D6" t="s">
        <v>177</v>
      </c>
      <c r="E6" t="s">
        <v>178</v>
      </c>
      <c r="F6" t="s">
        <v>179</v>
      </c>
      <c r="G6" t="s">
        <v>180</v>
      </c>
      <c r="H6" t="s">
        <v>181</v>
      </c>
      <c r="I6" t="s">
        <v>182</v>
      </c>
      <c r="J6" t="s">
        <v>183</v>
      </c>
      <c r="K6" t="s">
        <v>184</v>
      </c>
      <c r="L6" t="s">
        <v>185</v>
      </c>
      <c r="M6" t="s">
        <v>186</v>
      </c>
    </row>
    <row r="7" spans="1:13">
      <c r="A7">
        <v>-1.1000000000000001</v>
      </c>
      <c r="B7">
        <v>0.64900000000000002</v>
      </c>
      <c r="D7">
        <v>0.65100000000000002</v>
      </c>
    </row>
    <row r="8" spans="1:13">
      <c r="A8">
        <v>-1.2</v>
      </c>
      <c r="F8">
        <v>0.65300000000000002</v>
      </c>
      <c r="I8">
        <v>0.65500000000000003</v>
      </c>
      <c r="K8">
        <v>0.65700000000000003</v>
      </c>
      <c r="M8">
        <v>0.65900000000000003</v>
      </c>
    </row>
    <row r="9" spans="1:13">
      <c r="A9">
        <v>-1.3</v>
      </c>
      <c r="M9">
        <v>0.66100000000000003</v>
      </c>
    </row>
    <row r="12" spans="1:13">
      <c r="A12" t="s">
        <v>191</v>
      </c>
    </row>
    <row r="13" spans="1:13">
      <c r="B13" t="s">
        <v>188</v>
      </c>
    </row>
    <row r="14" spans="1:13">
      <c r="A14" t="s">
        <v>189</v>
      </c>
      <c r="B14" t="s">
        <v>175</v>
      </c>
      <c r="C14" t="s">
        <v>176</v>
      </c>
      <c r="D14" t="s">
        <v>177</v>
      </c>
      <c r="E14" t="s">
        <v>178</v>
      </c>
      <c r="F14" t="s">
        <v>179</v>
      </c>
      <c r="G14" t="s">
        <v>180</v>
      </c>
      <c r="H14" t="s">
        <v>181</v>
      </c>
      <c r="I14" t="s">
        <v>182</v>
      </c>
      <c r="J14" t="s">
        <v>183</v>
      </c>
      <c r="K14" t="s">
        <v>184</v>
      </c>
      <c r="L14" t="s">
        <v>185</v>
      </c>
      <c r="M14" t="s">
        <v>186</v>
      </c>
    </row>
    <row r="15" spans="1:13">
      <c r="A15">
        <v>-1.1000000000000001</v>
      </c>
      <c r="B15">
        <v>2.33</v>
      </c>
      <c r="D15">
        <v>2.23</v>
      </c>
    </row>
    <row r="16" spans="1:13">
      <c r="A16">
        <v>-1.2</v>
      </c>
      <c r="F16">
        <v>2.13</v>
      </c>
      <c r="I16">
        <v>2.0299999999999998</v>
      </c>
      <c r="K16">
        <v>1.93</v>
      </c>
      <c r="M16">
        <v>1.83</v>
      </c>
    </row>
    <row r="17" spans="1:13">
      <c r="A17">
        <v>-1.3</v>
      </c>
      <c r="M17">
        <v>1.73</v>
      </c>
    </row>
    <row r="20" spans="1:13">
      <c r="A20" t="s">
        <v>192</v>
      </c>
    </row>
    <row r="21" spans="1:13">
      <c r="B21" t="s">
        <v>188</v>
      </c>
    </row>
    <row r="22" spans="1:13">
      <c r="A22" t="s">
        <v>189</v>
      </c>
      <c r="B22" t="s">
        <v>175</v>
      </c>
      <c r="C22" t="s">
        <v>176</v>
      </c>
      <c r="D22" t="s">
        <v>177</v>
      </c>
      <c r="E22" t="s">
        <v>178</v>
      </c>
      <c r="F22" t="s">
        <v>179</v>
      </c>
      <c r="G22" t="s">
        <v>180</v>
      </c>
      <c r="H22" t="s">
        <v>181</v>
      </c>
      <c r="I22" t="s">
        <v>182</v>
      </c>
      <c r="J22" t="s">
        <v>183</v>
      </c>
      <c r="K22" t="s">
        <v>184</v>
      </c>
      <c r="L22" t="s">
        <v>185</v>
      </c>
      <c r="M22" t="s">
        <v>186</v>
      </c>
    </row>
    <row r="23" spans="1:13">
      <c r="A23">
        <v>-1.1000000000000001</v>
      </c>
      <c r="B23">
        <v>2.29</v>
      </c>
      <c r="D23">
        <v>2.31</v>
      </c>
    </row>
    <row r="24" spans="1:13">
      <c r="A24">
        <v>-1.2</v>
      </c>
      <c r="F24">
        <v>2.33</v>
      </c>
      <c r="I24">
        <v>2.35</v>
      </c>
      <c r="K24">
        <v>2.37</v>
      </c>
      <c r="M24">
        <v>2.39</v>
      </c>
    </row>
    <row r="25" spans="1:13">
      <c r="A25">
        <v>-1.3</v>
      </c>
      <c r="M25">
        <v>2.41</v>
      </c>
    </row>
    <row r="28" spans="1:13">
      <c r="A28" t="s">
        <v>193</v>
      </c>
    </row>
    <row r="29" spans="1:13">
      <c r="B29" t="s">
        <v>188</v>
      </c>
    </row>
    <row r="30" spans="1:13">
      <c r="A30" t="s">
        <v>189</v>
      </c>
      <c r="B30" t="s">
        <v>175</v>
      </c>
      <c r="C30" t="s">
        <v>176</v>
      </c>
      <c r="D30" t="s">
        <v>177</v>
      </c>
      <c r="E30" t="s">
        <v>178</v>
      </c>
      <c r="F30" t="s">
        <v>179</v>
      </c>
      <c r="G30" t="s">
        <v>180</v>
      </c>
      <c r="H30" t="s">
        <v>181</v>
      </c>
      <c r="I30" t="s">
        <v>182</v>
      </c>
      <c r="J30" t="s">
        <v>183</v>
      </c>
      <c r="K30" t="s">
        <v>184</v>
      </c>
      <c r="L30" t="s">
        <v>185</v>
      </c>
      <c r="M30" t="s">
        <v>186</v>
      </c>
    </row>
    <row r="31" spans="1:13">
      <c r="A31">
        <v>-1.1000000000000001</v>
      </c>
      <c r="B31">
        <v>0.4</v>
      </c>
      <c r="D31">
        <v>0.40100000000000002</v>
      </c>
    </row>
    <row r="32" spans="1:13">
      <c r="A32">
        <v>-1.2</v>
      </c>
      <c r="F32">
        <v>0.39800000000000002</v>
      </c>
      <c r="I32">
        <v>0.397666666666667</v>
      </c>
      <c r="K32">
        <v>0.396666666666667</v>
      </c>
      <c r="M32">
        <v>0.395666666666667</v>
      </c>
    </row>
    <row r="33" spans="1:13">
      <c r="A33">
        <v>-1.3</v>
      </c>
      <c r="M33">
        <v>0.394666666666667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S23" sqref="S23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66</v>
      </c>
      <c r="H1" t="s">
        <v>69</v>
      </c>
      <c r="L1" s="6" t="s">
        <v>65</v>
      </c>
      <c r="M1" s="6" t="s">
        <v>65</v>
      </c>
      <c r="N1" s="6" t="s">
        <v>65</v>
      </c>
    </row>
    <row r="2" spans="2:16">
      <c r="B2" t="s">
        <v>53</v>
      </c>
      <c r="C2" t="s">
        <v>55</v>
      </c>
      <c r="D2" t="s">
        <v>57</v>
      </c>
      <c r="E2" s="6" t="s">
        <v>58</v>
      </c>
      <c r="F2" s="6" t="s">
        <v>103</v>
      </c>
      <c r="K2" s="8" t="s">
        <v>58</v>
      </c>
      <c r="L2" s="8" t="s">
        <v>67</v>
      </c>
      <c r="M2" s="8" t="s">
        <v>68</v>
      </c>
      <c r="N2" s="8" t="s">
        <v>70</v>
      </c>
    </row>
    <row r="3" spans="2:16">
      <c r="B3" t="s">
        <v>60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71</v>
      </c>
      <c r="K3" s="10">
        <v>5290000000000</v>
      </c>
      <c r="L3" s="2"/>
      <c r="M3" s="10">
        <v>1</v>
      </c>
      <c r="N3" s="10"/>
    </row>
    <row r="4" spans="2:16">
      <c r="B4" t="s">
        <v>62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64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66</v>
      </c>
      <c r="J7" t="s">
        <v>71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52</v>
      </c>
      <c r="C8" t="s">
        <v>54</v>
      </c>
      <c r="D8" t="s">
        <v>56</v>
      </c>
      <c r="E8" s="6" t="s">
        <v>58</v>
      </c>
      <c r="F8" s="6" t="s">
        <v>103</v>
      </c>
      <c r="J8" t="s">
        <v>71</v>
      </c>
      <c r="K8" s="10">
        <v>5540000000000</v>
      </c>
      <c r="L8" s="2"/>
      <c r="M8" s="10"/>
      <c r="N8" s="10">
        <v>5</v>
      </c>
    </row>
    <row r="9" spans="2:16">
      <c r="B9" t="s">
        <v>59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61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63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102</v>
      </c>
    </row>
    <row r="12" spans="2:16">
      <c r="P12" t="s">
        <v>104</v>
      </c>
    </row>
    <row r="13" spans="2:16">
      <c r="B13" t="s">
        <v>66</v>
      </c>
      <c r="P13" s="14" t="s">
        <v>76</v>
      </c>
    </row>
    <row r="14" spans="2:16">
      <c r="B14" t="s">
        <v>52</v>
      </c>
      <c r="C14" t="s">
        <v>54</v>
      </c>
      <c r="D14" t="s">
        <v>56</v>
      </c>
      <c r="E14" s="6" t="s">
        <v>58</v>
      </c>
      <c r="F14" s="6" t="s">
        <v>103</v>
      </c>
      <c r="P14" s="14" t="s">
        <v>77</v>
      </c>
    </row>
    <row r="15" spans="2:16">
      <c r="B15" t="s">
        <v>59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79</v>
      </c>
    </row>
    <row r="16" spans="2:16">
      <c r="B16" t="s">
        <v>61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81</v>
      </c>
    </row>
    <row r="17" spans="2:16">
      <c r="B17" t="s">
        <v>63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85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cols>
    <col min="2" max="2" width="11.875" bestFit="1" customWidth="1"/>
  </cols>
  <sheetData>
    <row r="1" spans="1:9">
      <c r="A1" s="2" t="s">
        <v>12</v>
      </c>
      <c r="B1" s="2" t="s">
        <v>136</v>
      </c>
      <c r="C1" s="2" t="s">
        <v>137</v>
      </c>
      <c r="D1" s="2" t="s">
        <v>138</v>
      </c>
      <c r="E1" s="2" t="s">
        <v>139</v>
      </c>
      <c r="F1" s="2" t="s">
        <v>140</v>
      </c>
      <c r="G1" s="2" t="s">
        <v>141</v>
      </c>
      <c r="H1" s="2" t="s">
        <v>142</v>
      </c>
      <c r="I1" s="2" t="s">
        <v>143</v>
      </c>
    </row>
    <row r="2" spans="1:9">
      <c r="A2" s="2" t="s">
        <v>146</v>
      </c>
      <c r="B2" s="1">
        <v>1100000000000</v>
      </c>
      <c r="C2" s="1">
        <v>200000000000</v>
      </c>
      <c r="D2" s="2">
        <v>1</v>
      </c>
      <c r="E2" s="24">
        <v>5200000000000</v>
      </c>
      <c r="F2" s="2">
        <v>1</v>
      </c>
      <c r="G2">
        <f>311000000000</f>
        <v>311000000000</v>
      </c>
      <c r="H2" s="2">
        <v>-1.1000000000000001</v>
      </c>
      <c r="I2" s="2">
        <v>2</v>
      </c>
    </row>
    <row r="3" spans="1:9">
      <c r="A3" s="2" t="s">
        <v>18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f>311000000000</f>
        <v>311000000000</v>
      </c>
      <c r="H3" s="2">
        <v>-1.1000000000000001</v>
      </c>
      <c r="I3" s="2">
        <v>2</v>
      </c>
    </row>
    <row r="4" spans="1:9">
      <c r="A4" s="2" t="s">
        <v>19</v>
      </c>
      <c r="B4" s="1">
        <v>1100000000000</v>
      </c>
      <c r="C4" s="1">
        <v>200000000000</v>
      </c>
      <c r="D4" s="2">
        <v>1</v>
      </c>
      <c r="E4" s="28">
        <v>5400000000000</v>
      </c>
      <c r="F4">
        <v>3</v>
      </c>
      <c r="G4">
        <f>311000000000</f>
        <v>311000000000</v>
      </c>
      <c r="H4" s="17">
        <v>-1.2</v>
      </c>
      <c r="I4" s="2">
        <v>2</v>
      </c>
    </row>
    <row r="5" spans="1:9">
      <c r="A5" s="2" t="s">
        <v>20</v>
      </c>
      <c r="B5" s="4">
        <v>1200000000000</v>
      </c>
      <c r="C5" s="1">
        <v>200000000000</v>
      </c>
      <c r="D5" s="2">
        <v>1</v>
      </c>
      <c r="E5" s="24">
        <v>5200000000000</v>
      </c>
      <c r="F5" s="2">
        <v>1</v>
      </c>
      <c r="G5" s="25">
        <v>330000000000</v>
      </c>
      <c r="H5" s="17">
        <v>-1.2</v>
      </c>
      <c r="I5" s="2">
        <v>2</v>
      </c>
    </row>
    <row r="6" spans="1:9">
      <c r="A6" s="2" t="s">
        <v>21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5">
        <v>330000000000</v>
      </c>
      <c r="H6" s="17">
        <v>-1.2</v>
      </c>
      <c r="I6" s="2">
        <v>2</v>
      </c>
    </row>
    <row r="7" spans="1:9">
      <c r="A7" s="2" t="s">
        <v>22</v>
      </c>
      <c r="B7" s="4">
        <v>1200000000000</v>
      </c>
      <c r="C7" s="1">
        <v>200000000000</v>
      </c>
      <c r="D7" s="2">
        <v>1</v>
      </c>
      <c r="E7" s="28">
        <v>5400000000000</v>
      </c>
      <c r="F7" s="20">
        <v>3</v>
      </c>
      <c r="G7" s="25">
        <v>330000000000</v>
      </c>
      <c r="H7" s="17">
        <v>-1.2</v>
      </c>
      <c r="I7" s="2">
        <v>2</v>
      </c>
    </row>
    <row r="8" spans="1:9">
      <c r="A8" s="2" t="s">
        <v>100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5">
        <v>330000000000</v>
      </c>
      <c r="H8" s="18">
        <v>-1.3</v>
      </c>
      <c r="I8" s="2">
        <v>2</v>
      </c>
    </row>
    <row r="9" spans="1:9">
      <c r="A9" s="2" t="s">
        <v>101</v>
      </c>
      <c r="B9" s="4">
        <v>1300000000000</v>
      </c>
      <c r="C9" s="26">
        <v>300000000000</v>
      </c>
      <c r="D9" s="2">
        <v>1</v>
      </c>
      <c r="E9" s="24">
        <v>5200000000000</v>
      </c>
      <c r="F9" s="19">
        <v>2</v>
      </c>
      <c r="G9" s="25">
        <v>330000000000</v>
      </c>
      <c r="H9" s="18">
        <v>-1.3</v>
      </c>
      <c r="I9" s="2">
        <v>2</v>
      </c>
    </row>
    <row r="10" spans="1:9">
      <c r="A10" s="2" t="s">
        <v>117</v>
      </c>
      <c r="B10" s="4">
        <v>1300000000000</v>
      </c>
      <c r="C10" s="26">
        <v>300000000000</v>
      </c>
      <c r="D10" s="2">
        <v>1</v>
      </c>
      <c r="E10" s="22">
        <v>5300000000000</v>
      </c>
      <c r="F10" s="20">
        <v>3</v>
      </c>
      <c r="G10" s="25">
        <v>330000000000</v>
      </c>
      <c r="H10" s="18">
        <v>-1.3</v>
      </c>
      <c r="I10" s="2">
        <v>2</v>
      </c>
    </row>
    <row r="11" spans="1:9">
      <c r="A11" s="2" t="s">
        <v>118</v>
      </c>
      <c r="B11" s="4">
        <v>1300000000000</v>
      </c>
      <c r="C11" s="26">
        <v>300000000000</v>
      </c>
      <c r="D11" s="2">
        <v>1</v>
      </c>
      <c r="E11" s="28">
        <v>5400000000000</v>
      </c>
      <c r="F11" s="2">
        <v>1</v>
      </c>
      <c r="G11" s="25">
        <v>330000000000</v>
      </c>
      <c r="H11" s="18">
        <v>-1.3</v>
      </c>
      <c r="I11" s="2">
        <v>2</v>
      </c>
    </row>
    <row r="12" spans="1:9">
      <c r="A12" s="2" t="s">
        <v>119</v>
      </c>
      <c r="B12" s="4">
        <v>1300000000000</v>
      </c>
      <c r="C12" s="26">
        <v>300000000000</v>
      </c>
      <c r="D12" s="2">
        <v>1</v>
      </c>
      <c r="E12" s="24">
        <v>5200000000000</v>
      </c>
      <c r="F12" s="19">
        <v>2</v>
      </c>
      <c r="G12" s="27">
        <v>360000000000</v>
      </c>
      <c r="H12" s="18">
        <v>-1.3</v>
      </c>
      <c r="I12" s="2">
        <v>2</v>
      </c>
    </row>
    <row r="13" spans="1:9">
      <c r="A13" s="2" t="s">
        <v>120</v>
      </c>
      <c r="B13" s="4">
        <v>1400000000000</v>
      </c>
      <c r="C13" s="26">
        <v>300000000000</v>
      </c>
      <c r="D13" s="2">
        <v>1</v>
      </c>
      <c r="E13" s="22">
        <v>5300000000000</v>
      </c>
      <c r="F13" s="20">
        <v>3</v>
      </c>
      <c r="G13" s="27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G15"/>
  <sheetViews>
    <sheetView zoomScale="70" zoomScaleNormal="70" workbookViewId="0">
      <selection activeCell="E3" sqref="E3:J7"/>
    </sheetView>
  </sheetViews>
  <sheetFormatPr defaultRowHeight="18.75"/>
  <cols>
    <col min="1" max="1" width="37.875" bestFit="1" customWidth="1"/>
    <col min="2" max="2" width="8.125" customWidth="1"/>
    <col min="3" max="3" width="6.75" customWidth="1"/>
    <col min="4" max="4" width="9" customWidth="1"/>
  </cols>
  <sheetData>
    <row r="1" spans="1:33">
      <c r="A1" s="31" t="s">
        <v>154</v>
      </c>
      <c r="C1" s="31"/>
      <c r="D1" s="31"/>
      <c r="E1" t="s">
        <v>162</v>
      </c>
      <c r="O1" t="s">
        <v>161</v>
      </c>
      <c r="U1" t="s">
        <v>159</v>
      </c>
      <c r="AE1" t="s">
        <v>160</v>
      </c>
      <c r="AF1" t="s">
        <v>167</v>
      </c>
    </row>
    <row r="2" spans="1:33">
      <c r="A2" t="s">
        <v>147</v>
      </c>
    </row>
    <row r="3" spans="1:33">
      <c r="A3" t="s">
        <v>137</v>
      </c>
      <c r="E3" t="s">
        <v>147</v>
      </c>
      <c r="F3" t="s">
        <v>137</v>
      </c>
      <c r="G3" t="s">
        <v>139</v>
      </c>
      <c r="H3" t="s">
        <v>140</v>
      </c>
      <c r="I3" t="s">
        <v>141</v>
      </c>
      <c r="J3" t="s">
        <v>142</v>
      </c>
      <c r="O3" t="s">
        <v>98</v>
      </c>
      <c r="P3" t="s">
        <v>33</v>
      </c>
      <c r="U3" t="s">
        <v>147</v>
      </c>
      <c r="V3" t="s">
        <v>137</v>
      </c>
      <c r="W3" t="s">
        <v>139</v>
      </c>
      <c r="X3" t="s">
        <v>140</v>
      </c>
      <c r="Y3" t="s">
        <v>141</v>
      </c>
      <c r="Z3" t="s">
        <v>142</v>
      </c>
      <c r="AE3" t="s">
        <v>147</v>
      </c>
      <c r="AF3" t="s">
        <v>139</v>
      </c>
      <c r="AG3" t="s">
        <v>141</v>
      </c>
    </row>
    <row r="4" spans="1:33">
      <c r="A4" t="s">
        <v>139</v>
      </c>
      <c r="E4">
        <v>1100000000000</v>
      </c>
      <c r="F4">
        <v>200000000000</v>
      </c>
      <c r="G4">
        <v>5200000000000</v>
      </c>
      <c r="H4">
        <v>1</v>
      </c>
      <c r="I4">
        <v>311000000000</v>
      </c>
      <c r="J4">
        <v>-1.1000000000000001</v>
      </c>
      <c r="O4" t="s">
        <v>77</v>
      </c>
      <c r="P4" t="s">
        <v>33</v>
      </c>
      <c r="U4">
        <v>2</v>
      </c>
      <c r="V4">
        <v>0</v>
      </c>
      <c r="W4">
        <v>3</v>
      </c>
      <c r="X4">
        <v>0</v>
      </c>
      <c r="Y4">
        <v>2</v>
      </c>
      <c r="Z4">
        <v>0</v>
      </c>
      <c r="AE4">
        <v>1100000000000</v>
      </c>
      <c r="AF4">
        <v>5200000000000</v>
      </c>
      <c r="AG4">
        <v>311000000000</v>
      </c>
    </row>
    <row r="5" spans="1:33">
      <c r="A5" t="s">
        <v>140</v>
      </c>
      <c r="E5">
        <v>1200000000000</v>
      </c>
      <c r="F5">
        <v>300000000000</v>
      </c>
      <c r="G5">
        <v>5300000000000</v>
      </c>
      <c r="H5">
        <v>2</v>
      </c>
      <c r="I5">
        <v>330000000000</v>
      </c>
      <c r="J5">
        <v>-1.2</v>
      </c>
      <c r="O5" t="s">
        <v>79</v>
      </c>
      <c r="P5" t="s">
        <v>33</v>
      </c>
      <c r="U5">
        <v>1100000000000</v>
      </c>
      <c r="W5">
        <v>5200000000000</v>
      </c>
      <c r="Y5">
        <v>311000000000</v>
      </c>
      <c r="AE5">
        <v>1200000000000</v>
      </c>
      <c r="AF5">
        <v>5200000000000</v>
      </c>
      <c r="AG5">
        <v>311000000000</v>
      </c>
    </row>
    <row r="6" spans="1:33">
      <c r="A6" t="s">
        <v>141</v>
      </c>
      <c r="E6">
        <v>1300000000000</v>
      </c>
      <c r="G6">
        <v>5400000000000</v>
      </c>
      <c r="H6">
        <v>3</v>
      </c>
      <c r="I6">
        <v>360000000000</v>
      </c>
      <c r="J6">
        <v>-1.3</v>
      </c>
      <c r="O6" t="s">
        <v>85</v>
      </c>
      <c r="P6" t="s">
        <v>157</v>
      </c>
      <c r="U6">
        <v>1200000000000</v>
      </c>
      <c r="W6">
        <v>5300000000000</v>
      </c>
      <c r="Y6">
        <v>330000000000</v>
      </c>
      <c r="AE6">
        <v>1100000000000</v>
      </c>
      <c r="AF6">
        <v>5300000000000</v>
      </c>
      <c r="AG6">
        <v>311000000000</v>
      </c>
    </row>
    <row r="7" spans="1:33">
      <c r="A7" s="1" t="s">
        <v>142</v>
      </c>
      <c r="E7">
        <v>1400000000000</v>
      </c>
      <c r="O7" t="s">
        <v>99</v>
      </c>
      <c r="P7" t="s">
        <v>158</v>
      </c>
      <c r="W7">
        <v>5400000000000</v>
      </c>
      <c r="AE7">
        <v>1200000000000</v>
      </c>
      <c r="AF7">
        <v>5300000000000</v>
      </c>
      <c r="AG7">
        <v>311000000000</v>
      </c>
    </row>
    <row r="8" spans="1:33">
      <c r="AE8">
        <v>1100000000000</v>
      </c>
      <c r="AF8">
        <v>5400000000000</v>
      </c>
      <c r="AG8">
        <v>311000000000</v>
      </c>
    </row>
    <row r="9" spans="1:33">
      <c r="AE9">
        <v>1200000000000</v>
      </c>
      <c r="AF9">
        <v>5400000000000</v>
      </c>
      <c r="AG9">
        <v>311000000000</v>
      </c>
    </row>
    <row r="10" spans="1:33">
      <c r="A10" t="s">
        <v>153</v>
      </c>
      <c r="AE10">
        <v>1100000000000</v>
      </c>
      <c r="AF10">
        <v>5200000000000</v>
      </c>
      <c r="AG10">
        <v>330000000000</v>
      </c>
    </row>
    <row r="11" spans="1:33">
      <c r="A11">
        <v>6</v>
      </c>
      <c r="AE11">
        <v>1200000000000</v>
      </c>
      <c r="AF11">
        <v>5200000000000</v>
      </c>
      <c r="AG11">
        <v>330000000000</v>
      </c>
    </row>
    <row r="12" spans="1:33">
      <c r="AE12">
        <v>1100000000000</v>
      </c>
      <c r="AF12">
        <v>5300000000000</v>
      </c>
      <c r="AG12">
        <v>330000000000</v>
      </c>
    </row>
    <row r="13" spans="1:33">
      <c r="AE13">
        <v>1200000000000</v>
      </c>
      <c r="AF13">
        <v>5300000000000</v>
      </c>
      <c r="AG13">
        <v>330000000000</v>
      </c>
    </row>
    <row r="14" spans="1:33">
      <c r="AE14">
        <v>1100000000000</v>
      </c>
      <c r="AF14">
        <v>5400000000000</v>
      </c>
      <c r="AG14">
        <v>330000000000</v>
      </c>
    </row>
    <row r="15" spans="1:33">
      <c r="AE15">
        <v>1200000000000</v>
      </c>
      <c r="AF15">
        <v>5400000000000</v>
      </c>
      <c r="AG15">
        <v>330000000000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G34"/>
  <sheetViews>
    <sheetView topLeftCell="E1" zoomScale="70" zoomScaleNormal="70" workbookViewId="0">
      <selection activeCell="J25" sqref="J25"/>
    </sheetView>
  </sheetViews>
  <sheetFormatPr defaultRowHeight="18.75"/>
  <cols>
    <col min="28" max="33" width="8.875" customWidth="1"/>
  </cols>
  <sheetData>
    <row r="1" spans="1:21">
      <c r="B1" t="s">
        <v>165</v>
      </c>
      <c r="C1" t="s">
        <v>165</v>
      </c>
      <c r="D1" t="s">
        <v>165</v>
      </c>
      <c r="E1" t="s">
        <v>166</v>
      </c>
      <c r="F1" s="5" t="s">
        <v>36</v>
      </c>
      <c r="G1" t="s">
        <v>39</v>
      </c>
      <c r="H1" t="s">
        <v>44</v>
      </c>
      <c r="I1" t="s">
        <v>39</v>
      </c>
      <c r="J1" t="s">
        <v>158</v>
      </c>
      <c r="M1" t="s">
        <v>173</v>
      </c>
    </row>
    <row r="2" spans="1:21">
      <c r="A2" s="2" t="s">
        <v>12</v>
      </c>
      <c r="B2" s="2" t="s">
        <v>136</v>
      </c>
      <c r="C2" s="2" t="s">
        <v>139</v>
      </c>
      <c r="D2" s="2" t="s">
        <v>141</v>
      </c>
      <c r="E2" s="2" t="s">
        <v>142</v>
      </c>
      <c r="F2" s="5" t="s">
        <v>94</v>
      </c>
      <c r="G2" t="s">
        <v>38</v>
      </c>
      <c r="H2" t="s">
        <v>47</v>
      </c>
      <c r="I2" t="s">
        <v>50</v>
      </c>
      <c r="J2" t="s">
        <v>116</v>
      </c>
    </row>
    <row r="3" spans="1:21">
      <c r="A3" s="2" t="s">
        <v>163</v>
      </c>
      <c r="B3" s="35" t="s">
        <v>148</v>
      </c>
      <c r="C3" s="35" t="s">
        <v>148</v>
      </c>
      <c r="D3" s="35" t="s">
        <v>148</v>
      </c>
      <c r="E3" s="2" t="s">
        <v>148</v>
      </c>
      <c r="F3" s="5" t="s">
        <v>30</v>
      </c>
      <c r="G3" t="s">
        <v>78</v>
      </c>
      <c r="H3" t="s">
        <v>7</v>
      </c>
      <c r="I3" s="21" t="s">
        <v>5</v>
      </c>
      <c r="J3" t="s">
        <v>95</v>
      </c>
      <c r="M3" t="s">
        <v>168</v>
      </c>
      <c r="N3" t="s">
        <v>165</v>
      </c>
      <c r="O3" t="s">
        <v>165</v>
      </c>
      <c r="P3" t="s">
        <v>165</v>
      </c>
      <c r="Q3" t="s">
        <v>166</v>
      </c>
      <c r="R3" t="s">
        <v>169</v>
      </c>
      <c r="S3" t="s">
        <v>170</v>
      </c>
      <c r="T3" t="s">
        <v>169</v>
      </c>
      <c r="U3" t="s">
        <v>171</v>
      </c>
    </row>
    <row r="4" spans="1:21">
      <c r="A4" s="2" t="s">
        <v>164</v>
      </c>
      <c r="B4" s="35" t="s">
        <v>148</v>
      </c>
      <c r="C4" s="35" t="s">
        <v>148</v>
      </c>
      <c r="D4" s="35" t="s">
        <v>148</v>
      </c>
      <c r="E4" s="2" t="s">
        <v>148</v>
      </c>
      <c r="F4" s="5" t="s">
        <v>37</v>
      </c>
      <c r="G4" t="s">
        <v>42</v>
      </c>
      <c r="H4" t="s">
        <v>91</v>
      </c>
      <c r="I4" t="s">
        <v>42</v>
      </c>
      <c r="J4" t="s">
        <v>158</v>
      </c>
      <c r="M4" t="s">
        <v>172</v>
      </c>
      <c r="N4" t="s">
        <v>147</v>
      </c>
      <c r="O4" t="s">
        <v>139</v>
      </c>
      <c r="P4" t="s">
        <v>141</v>
      </c>
      <c r="Q4" t="s">
        <v>142</v>
      </c>
      <c r="R4" t="s">
        <v>77</v>
      </c>
      <c r="S4" t="s">
        <v>85</v>
      </c>
      <c r="T4" t="s">
        <v>98</v>
      </c>
      <c r="U4" t="s">
        <v>99</v>
      </c>
    </row>
    <row r="5" spans="1:21">
      <c r="A5" s="2" t="s">
        <v>146</v>
      </c>
      <c r="B5" s="1">
        <v>1100000000000</v>
      </c>
      <c r="C5" s="24">
        <v>5200000000000</v>
      </c>
      <c r="D5">
        <f>311000000000</f>
        <v>311000000000</v>
      </c>
      <c r="E5" s="2">
        <v>-1.1000000000000001</v>
      </c>
      <c r="F5" t="s">
        <v>17</v>
      </c>
      <c r="G5" s="1">
        <v>0.64900000000000002</v>
      </c>
      <c r="H5" s="1">
        <v>2.33</v>
      </c>
      <c r="I5" s="1">
        <v>2.29</v>
      </c>
      <c r="J5" s="1">
        <v>0.4</v>
      </c>
      <c r="M5" t="s">
        <v>17</v>
      </c>
      <c r="N5">
        <v>1100000000000</v>
      </c>
      <c r="O5">
        <v>5200000000000</v>
      </c>
      <c r="P5">
        <v>311000000000</v>
      </c>
      <c r="Q5">
        <v>-1.1000000000000001</v>
      </c>
      <c r="R5">
        <v>0.64900000000000002</v>
      </c>
      <c r="S5">
        <v>2.33</v>
      </c>
      <c r="T5">
        <v>2.29</v>
      </c>
      <c r="U5">
        <v>0.4</v>
      </c>
    </row>
    <row r="6" spans="1:21">
      <c r="A6" s="2" t="s">
        <v>18</v>
      </c>
      <c r="B6" s="1">
        <v>1100000000000</v>
      </c>
      <c r="C6" s="22">
        <v>5300000000000</v>
      </c>
      <c r="D6">
        <f>311000000000</f>
        <v>311000000000</v>
      </c>
      <c r="E6" s="2">
        <v>-1.1000000000000001</v>
      </c>
      <c r="F6" t="s">
        <v>18</v>
      </c>
      <c r="G6" s="1">
        <v>0.65100000000000002</v>
      </c>
      <c r="H6" s="1">
        <v>2.23</v>
      </c>
      <c r="I6" s="1">
        <v>2.31</v>
      </c>
      <c r="J6" s="1">
        <v>0.40100000000000002</v>
      </c>
      <c r="M6" t="s">
        <v>18</v>
      </c>
      <c r="N6">
        <v>1100000000000</v>
      </c>
      <c r="O6">
        <v>5300000000000</v>
      </c>
      <c r="P6">
        <v>311000000000</v>
      </c>
      <c r="Q6">
        <v>-1.1000000000000001</v>
      </c>
      <c r="R6">
        <v>0.65100000000000002</v>
      </c>
      <c r="S6">
        <v>2.23</v>
      </c>
      <c r="T6">
        <v>2.31</v>
      </c>
      <c r="U6">
        <v>0.40100000000000002</v>
      </c>
    </row>
    <row r="7" spans="1:21">
      <c r="A7" s="2" t="s">
        <v>19</v>
      </c>
      <c r="B7" s="1">
        <v>1100000000000</v>
      </c>
      <c r="C7" s="28">
        <v>5400000000000</v>
      </c>
      <c r="D7">
        <f>311000000000</f>
        <v>311000000000</v>
      </c>
      <c r="E7" s="17">
        <v>-1.2</v>
      </c>
      <c r="F7" t="s">
        <v>19</v>
      </c>
      <c r="G7" s="1">
        <v>0.65300000000000002</v>
      </c>
      <c r="H7" s="1">
        <v>2.13</v>
      </c>
      <c r="I7" s="1">
        <v>2.33</v>
      </c>
      <c r="J7" s="1">
        <v>0.39800000000000002</v>
      </c>
      <c r="M7" t="s">
        <v>19</v>
      </c>
      <c r="N7">
        <v>1100000000000</v>
      </c>
      <c r="O7">
        <v>5400000000000</v>
      </c>
      <c r="P7">
        <v>311000000000</v>
      </c>
      <c r="Q7">
        <v>-1.2</v>
      </c>
      <c r="R7">
        <v>0.65300000000000002</v>
      </c>
      <c r="S7">
        <v>2.13</v>
      </c>
      <c r="T7">
        <v>2.33</v>
      </c>
      <c r="U7">
        <v>0.39800000000000002</v>
      </c>
    </row>
    <row r="8" spans="1:21">
      <c r="A8" s="2" t="s">
        <v>20</v>
      </c>
      <c r="B8" s="4">
        <v>1200000000000</v>
      </c>
      <c r="C8" s="24">
        <v>5200000000000</v>
      </c>
      <c r="D8" s="25">
        <v>330000000000</v>
      </c>
      <c r="E8" s="17">
        <v>-1.2</v>
      </c>
      <c r="F8" t="s">
        <v>20</v>
      </c>
      <c r="G8" s="1">
        <v>0.65500000000000003</v>
      </c>
      <c r="H8" s="1">
        <v>2.0299999999999998</v>
      </c>
      <c r="I8" s="1">
        <v>2.35</v>
      </c>
      <c r="J8" s="1">
        <v>0.397666666666667</v>
      </c>
      <c r="M8" t="s">
        <v>20</v>
      </c>
      <c r="N8">
        <v>1200000000000</v>
      </c>
      <c r="O8">
        <v>5200000000000</v>
      </c>
      <c r="P8">
        <v>330000000000</v>
      </c>
      <c r="Q8">
        <v>-1.2</v>
      </c>
      <c r="R8">
        <v>0.65500000000000003</v>
      </c>
      <c r="S8">
        <v>2.0299999999999998</v>
      </c>
      <c r="T8">
        <v>2.35</v>
      </c>
      <c r="U8">
        <v>0.397666666666667</v>
      </c>
    </row>
    <row r="9" spans="1:21">
      <c r="A9" s="2" t="s">
        <v>21</v>
      </c>
      <c r="B9" s="4">
        <v>1200000000000</v>
      </c>
      <c r="C9" s="22">
        <v>5300000000000</v>
      </c>
      <c r="D9" s="25">
        <v>330000000000</v>
      </c>
      <c r="E9" s="17">
        <v>-1.2</v>
      </c>
      <c r="F9" t="s">
        <v>21</v>
      </c>
      <c r="G9" s="1">
        <v>0.65700000000000003</v>
      </c>
      <c r="H9" s="1">
        <v>1.93</v>
      </c>
      <c r="I9" s="1">
        <v>2.37</v>
      </c>
      <c r="J9" s="1">
        <v>0.396666666666667</v>
      </c>
      <c r="M9" t="s">
        <v>21</v>
      </c>
      <c r="N9">
        <v>1200000000000</v>
      </c>
      <c r="O9">
        <v>5300000000000</v>
      </c>
      <c r="P9">
        <v>330000000000</v>
      </c>
      <c r="Q9">
        <v>-1.2</v>
      </c>
      <c r="R9">
        <v>0.65700000000000003</v>
      </c>
      <c r="S9">
        <v>1.93</v>
      </c>
      <c r="T9">
        <v>2.37</v>
      </c>
      <c r="U9">
        <v>0.396666666666667</v>
      </c>
    </row>
    <row r="10" spans="1:21">
      <c r="A10" s="2" t="s">
        <v>22</v>
      </c>
      <c r="B10" s="4">
        <v>1200000000000</v>
      </c>
      <c r="C10" s="28">
        <v>5400000000000</v>
      </c>
      <c r="D10" s="25">
        <v>330000000000</v>
      </c>
      <c r="E10" s="17">
        <v>-1.2</v>
      </c>
      <c r="F10" t="s">
        <v>22</v>
      </c>
      <c r="G10" s="1">
        <v>0.65900000000000003</v>
      </c>
      <c r="H10" s="1">
        <v>1.83</v>
      </c>
      <c r="I10" s="1">
        <v>2.39</v>
      </c>
      <c r="J10" s="1">
        <v>0.395666666666667</v>
      </c>
      <c r="M10" t="s">
        <v>22</v>
      </c>
      <c r="N10">
        <v>1200000000000</v>
      </c>
      <c r="O10">
        <v>5400000000000</v>
      </c>
      <c r="P10">
        <v>330000000000</v>
      </c>
      <c r="Q10">
        <v>-1.2</v>
      </c>
      <c r="R10">
        <v>0.65900000000000003</v>
      </c>
      <c r="S10">
        <v>1.83</v>
      </c>
      <c r="T10">
        <v>2.39</v>
      </c>
      <c r="U10">
        <v>0.395666666666667</v>
      </c>
    </row>
    <row r="11" spans="1:21">
      <c r="A11" s="2" t="s">
        <v>100</v>
      </c>
      <c r="B11" s="4">
        <v>1200000000000</v>
      </c>
      <c r="C11" s="23">
        <v>5400000000000</v>
      </c>
      <c r="D11" s="25">
        <v>330000000000</v>
      </c>
      <c r="E11" s="18">
        <v>-1.3</v>
      </c>
      <c r="F11" t="s">
        <v>100</v>
      </c>
      <c r="G11" s="1">
        <v>0.66100000000000003</v>
      </c>
      <c r="H11" s="1">
        <v>1.73</v>
      </c>
      <c r="I11" s="1">
        <v>2.41</v>
      </c>
      <c r="J11" s="1">
        <v>0.394666666666667</v>
      </c>
      <c r="M11" t="s">
        <v>100</v>
      </c>
      <c r="N11">
        <v>1200000000000</v>
      </c>
      <c r="O11">
        <v>5400000000000</v>
      </c>
      <c r="P11">
        <v>330000000000</v>
      </c>
      <c r="Q11">
        <v>-1.3</v>
      </c>
      <c r="R11">
        <v>0.66100000000000003</v>
      </c>
      <c r="S11">
        <v>1.73</v>
      </c>
      <c r="T11">
        <v>2.41</v>
      </c>
      <c r="U11">
        <v>0.394666666666667</v>
      </c>
    </row>
    <row r="12" spans="1:21">
      <c r="A12" s="2" t="s">
        <v>101</v>
      </c>
      <c r="B12" s="4">
        <v>1300000000000</v>
      </c>
      <c r="C12" s="24">
        <v>5200000000000</v>
      </c>
      <c r="D12" s="25">
        <v>330000000000</v>
      </c>
      <c r="E12" s="18">
        <v>-1.3</v>
      </c>
      <c r="F12" t="s">
        <v>101</v>
      </c>
      <c r="G12" s="1">
        <v>0.66300000000000003</v>
      </c>
      <c r="H12" s="1">
        <v>1.63</v>
      </c>
      <c r="I12" s="1">
        <v>2.4300000000000002</v>
      </c>
      <c r="J12" s="1">
        <v>0.393666666666667</v>
      </c>
      <c r="M12" t="s">
        <v>101</v>
      </c>
      <c r="N12">
        <v>1300000000000</v>
      </c>
      <c r="O12">
        <v>5200000000000</v>
      </c>
      <c r="P12">
        <v>330000000000</v>
      </c>
      <c r="Q12">
        <v>-1.3</v>
      </c>
      <c r="R12">
        <v>0.66300000000000003</v>
      </c>
      <c r="S12">
        <v>1.63</v>
      </c>
      <c r="T12">
        <v>2.4300000000000002</v>
      </c>
      <c r="U12">
        <v>0.393666666666667</v>
      </c>
    </row>
    <row r="13" spans="1:21">
      <c r="A13" s="2" t="s">
        <v>117</v>
      </c>
      <c r="B13" s="4">
        <v>1300000000000</v>
      </c>
      <c r="C13" s="22">
        <v>5300000000000</v>
      </c>
      <c r="D13" s="25">
        <v>330000000000</v>
      </c>
      <c r="E13" s="18">
        <v>-1.3</v>
      </c>
      <c r="F13" t="s">
        <v>117</v>
      </c>
      <c r="G13" s="1">
        <v>0.66500000000000004</v>
      </c>
      <c r="H13" s="1">
        <v>1.53</v>
      </c>
      <c r="I13" s="1">
        <v>2.4500000000000002</v>
      </c>
      <c r="J13" s="1">
        <v>0.392666666666667</v>
      </c>
      <c r="M13" t="s">
        <v>117</v>
      </c>
      <c r="N13">
        <v>1300000000000</v>
      </c>
      <c r="O13">
        <v>5300000000000</v>
      </c>
      <c r="P13">
        <v>330000000000</v>
      </c>
      <c r="Q13">
        <v>-1.3</v>
      </c>
      <c r="R13">
        <v>0.66500000000000004</v>
      </c>
      <c r="S13">
        <v>1.53</v>
      </c>
      <c r="T13">
        <v>2.4500000000000002</v>
      </c>
      <c r="U13">
        <v>0.392666666666667</v>
      </c>
    </row>
    <row r="14" spans="1:21">
      <c r="A14" s="2" t="s">
        <v>118</v>
      </c>
      <c r="B14" s="4">
        <v>1300000000000</v>
      </c>
      <c r="C14" s="28">
        <v>5400000000000</v>
      </c>
      <c r="D14" s="25">
        <v>330000000000</v>
      </c>
      <c r="E14" s="18">
        <v>-1.3</v>
      </c>
      <c r="F14" t="s">
        <v>118</v>
      </c>
      <c r="G14" s="1">
        <v>0.66700000000000004</v>
      </c>
      <c r="H14" s="1">
        <v>1.43</v>
      </c>
      <c r="I14" s="1">
        <v>2.4700000000000002</v>
      </c>
      <c r="J14" s="1">
        <v>0.391666666666667</v>
      </c>
      <c r="M14" t="s">
        <v>118</v>
      </c>
      <c r="N14">
        <v>1300000000000</v>
      </c>
      <c r="O14">
        <v>5400000000000</v>
      </c>
      <c r="P14">
        <v>330000000000</v>
      </c>
      <c r="Q14">
        <v>-1.3</v>
      </c>
      <c r="R14">
        <v>0.66700000000000004</v>
      </c>
      <c r="S14">
        <v>1.43</v>
      </c>
      <c r="T14">
        <v>2.4700000000000002</v>
      </c>
      <c r="U14">
        <v>0.391666666666667</v>
      </c>
    </row>
    <row r="15" spans="1:21">
      <c r="A15" s="2" t="s">
        <v>119</v>
      </c>
      <c r="B15" s="4">
        <v>1300000000000</v>
      </c>
      <c r="C15" s="24">
        <v>5200000000000</v>
      </c>
      <c r="D15" s="27">
        <v>360000000000</v>
      </c>
      <c r="E15" s="18">
        <v>-1.3</v>
      </c>
      <c r="F15" t="s">
        <v>119</v>
      </c>
      <c r="G15" s="1">
        <v>0.66900000000000004</v>
      </c>
      <c r="H15" s="1">
        <v>1.33</v>
      </c>
      <c r="I15" s="1">
        <v>2.4900000000000002</v>
      </c>
      <c r="J15" s="1">
        <v>0.390666666666667</v>
      </c>
      <c r="M15" t="s">
        <v>119</v>
      </c>
      <c r="N15">
        <v>1300000000000</v>
      </c>
      <c r="O15">
        <v>5200000000000</v>
      </c>
      <c r="P15">
        <v>360000000000</v>
      </c>
      <c r="Q15">
        <v>-1.3</v>
      </c>
      <c r="R15">
        <v>0.66900000000000004</v>
      </c>
      <c r="S15">
        <v>1.33</v>
      </c>
      <c r="T15">
        <v>2.4900000000000002</v>
      </c>
      <c r="U15">
        <v>0.390666666666667</v>
      </c>
    </row>
    <row r="16" spans="1:21">
      <c r="A16" s="2" t="s">
        <v>120</v>
      </c>
      <c r="B16" s="4">
        <v>1400000000000</v>
      </c>
      <c r="C16" s="22">
        <v>5300000000000</v>
      </c>
      <c r="D16" s="27">
        <v>360000000000</v>
      </c>
      <c r="E16" s="18">
        <v>-1.3</v>
      </c>
      <c r="F16" t="s">
        <v>120</v>
      </c>
      <c r="G16" s="1">
        <v>0.67100000000000004</v>
      </c>
      <c r="H16" s="1">
        <v>1.23</v>
      </c>
      <c r="I16" s="1">
        <v>2.5099999999999998</v>
      </c>
      <c r="J16" s="1">
        <v>0.38966666666666699</v>
      </c>
      <c r="M16" t="s">
        <v>120</v>
      </c>
      <c r="N16">
        <v>1400000000000</v>
      </c>
      <c r="O16">
        <v>5300000000000</v>
      </c>
      <c r="P16">
        <v>360000000000</v>
      </c>
      <c r="Q16">
        <v>-1.3</v>
      </c>
      <c r="R16">
        <v>0.67100000000000004</v>
      </c>
      <c r="S16">
        <v>1.23</v>
      </c>
      <c r="T16">
        <v>2.5099999999999998</v>
      </c>
      <c r="U16">
        <v>0.38966666666666699</v>
      </c>
    </row>
    <row r="21" spans="13:33">
      <c r="M21" t="s">
        <v>168</v>
      </c>
      <c r="N21" t="s">
        <v>165</v>
      </c>
      <c r="O21" t="s">
        <v>165</v>
      </c>
      <c r="P21" t="s">
        <v>165</v>
      </c>
      <c r="Q21" t="s">
        <v>166</v>
      </c>
      <c r="R21" t="s">
        <v>169</v>
      </c>
      <c r="S21" t="s">
        <v>170</v>
      </c>
      <c r="T21" t="s">
        <v>169</v>
      </c>
      <c r="U21" t="s">
        <v>171</v>
      </c>
      <c r="V21" t="s">
        <v>174</v>
      </c>
      <c r="W21" t="s">
        <v>174</v>
      </c>
      <c r="X21" t="s">
        <v>174</v>
      </c>
      <c r="Y21" t="s">
        <v>174</v>
      </c>
      <c r="Z21" t="s">
        <v>174</v>
      </c>
      <c r="AA21" t="s">
        <v>174</v>
      </c>
      <c r="AB21" t="s">
        <v>174</v>
      </c>
      <c r="AC21" t="s">
        <v>174</v>
      </c>
      <c r="AD21" t="s">
        <v>174</v>
      </c>
      <c r="AE21" t="s">
        <v>174</v>
      </c>
      <c r="AF21" t="s">
        <v>174</v>
      </c>
      <c r="AG21" t="s">
        <v>174</v>
      </c>
    </row>
    <row r="22" spans="13:33">
      <c r="M22" t="s">
        <v>172</v>
      </c>
      <c r="N22" t="s">
        <v>147</v>
      </c>
      <c r="O22" t="s">
        <v>139</v>
      </c>
      <c r="P22" t="s">
        <v>141</v>
      </c>
      <c r="Q22" t="s">
        <v>142</v>
      </c>
      <c r="R22" t="s">
        <v>77</v>
      </c>
      <c r="S22" t="s">
        <v>85</v>
      </c>
      <c r="T22" t="s">
        <v>98</v>
      </c>
      <c r="U22" t="s">
        <v>99</v>
      </c>
      <c r="V22" t="s">
        <v>175</v>
      </c>
      <c r="W22" t="s">
        <v>176</v>
      </c>
      <c r="X22" t="s">
        <v>177</v>
      </c>
      <c r="Y22" t="s">
        <v>178</v>
      </c>
      <c r="Z22" t="s">
        <v>179</v>
      </c>
      <c r="AA22" t="s">
        <v>180</v>
      </c>
      <c r="AB22" t="s">
        <v>181</v>
      </c>
      <c r="AC22" t="s">
        <v>182</v>
      </c>
      <c r="AD22" t="s">
        <v>183</v>
      </c>
      <c r="AE22" t="s">
        <v>184</v>
      </c>
      <c r="AF22" t="s">
        <v>185</v>
      </c>
      <c r="AG22" t="s">
        <v>186</v>
      </c>
    </row>
    <row r="23" spans="13:33">
      <c r="M23" t="s">
        <v>17</v>
      </c>
      <c r="N23">
        <v>1100000000000</v>
      </c>
      <c r="O23">
        <v>5200000000000</v>
      </c>
      <c r="P23">
        <v>311000000000</v>
      </c>
      <c r="Q23">
        <v>-1.1000000000000001</v>
      </c>
      <c r="R23">
        <v>0.64900000000000002</v>
      </c>
      <c r="S23">
        <v>2.33</v>
      </c>
      <c r="T23">
        <v>2.29</v>
      </c>
      <c r="U23">
        <v>0.4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3:33">
      <c r="M24" t="s">
        <v>18</v>
      </c>
      <c r="N24">
        <v>1100000000000</v>
      </c>
      <c r="O24">
        <v>5300000000000</v>
      </c>
      <c r="P24">
        <v>311000000000</v>
      </c>
      <c r="Q24">
        <v>-1.1000000000000001</v>
      </c>
      <c r="R24">
        <v>0.65100000000000002</v>
      </c>
      <c r="S24">
        <v>2.23</v>
      </c>
      <c r="T24">
        <v>2.31</v>
      </c>
      <c r="U24">
        <v>0.40100000000000002</v>
      </c>
      <c r="V24">
        <v>0</v>
      </c>
      <c r="W24">
        <v>0</v>
      </c>
      <c r="X24">
        <v>1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3:33">
      <c r="M25" t="s">
        <v>19</v>
      </c>
      <c r="N25">
        <v>1100000000000</v>
      </c>
      <c r="O25">
        <v>5400000000000</v>
      </c>
      <c r="P25">
        <v>311000000000</v>
      </c>
      <c r="Q25">
        <v>-1.2</v>
      </c>
      <c r="R25">
        <v>0.65300000000000002</v>
      </c>
      <c r="S25">
        <v>2.13</v>
      </c>
      <c r="T25">
        <v>2.33</v>
      </c>
      <c r="U25">
        <v>0.39800000000000002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3:33">
      <c r="M26" t="s">
        <v>20</v>
      </c>
      <c r="N26">
        <v>1200000000000</v>
      </c>
      <c r="O26">
        <v>5200000000000</v>
      </c>
      <c r="P26">
        <v>330000000000</v>
      </c>
      <c r="Q26">
        <v>-1.2</v>
      </c>
      <c r="R26">
        <v>0.65500000000000003</v>
      </c>
      <c r="S26">
        <v>2.0299999999999998</v>
      </c>
      <c r="T26">
        <v>2.35</v>
      </c>
      <c r="U26">
        <v>0.397666666666667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0</v>
      </c>
      <c r="AE26">
        <v>0</v>
      </c>
      <c r="AF26">
        <v>0</v>
      </c>
      <c r="AG26">
        <v>0</v>
      </c>
    </row>
    <row r="27" spans="13:33">
      <c r="M27" t="s">
        <v>21</v>
      </c>
      <c r="N27">
        <v>1200000000000</v>
      </c>
      <c r="O27">
        <v>5300000000000</v>
      </c>
      <c r="P27">
        <v>330000000000</v>
      </c>
      <c r="Q27">
        <v>-1.2</v>
      </c>
      <c r="R27">
        <v>0.65700000000000003</v>
      </c>
      <c r="S27">
        <v>1.93</v>
      </c>
      <c r="T27">
        <v>2.37</v>
      </c>
      <c r="U27">
        <v>0.396666666666667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0</v>
      </c>
      <c r="AG27">
        <v>0</v>
      </c>
    </row>
    <row r="28" spans="13:33">
      <c r="M28" t="s">
        <v>22</v>
      </c>
      <c r="N28">
        <v>1200000000000</v>
      </c>
      <c r="O28">
        <v>5400000000000</v>
      </c>
      <c r="P28">
        <v>330000000000</v>
      </c>
      <c r="Q28">
        <v>-1.2</v>
      </c>
      <c r="R28">
        <v>0.65900000000000003</v>
      </c>
      <c r="S28">
        <v>1.83</v>
      </c>
      <c r="T28">
        <v>2.39</v>
      </c>
      <c r="U28">
        <v>0.395666666666667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1</v>
      </c>
    </row>
    <row r="29" spans="13:33">
      <c r="M29" t="s">
        <v>100</v>
      </c>
      <c r="N29">
        <v>1200000000000</v>
      </c>
      <c r="O29">
        <v>5400000000000</v>
      </c>
      <c r="P29">
        <v>330000000000</v>
      </c>
      <c r="Q29">
        <v>-1.3</v>
      </c>
      <c r="R29">
        <v>0.66100000000000003</v>
      </c>
      <c r="S29">
        <v>1.73</v>
      </c>
      <c r="T29">
        <v>2.41</v>
      </c>
      <c r="U29">
        <v>0.394666666666667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1</v>
      </c>
    </row>
    <row r="30" spans="13:33">
      <c r="M30" t="s">
        <v>101</v>
      </c>
      <c r="N30">
        <v>1300000000000</v>
      </c>
      <c r="O30">
        <v>5200000000000</v>
      </c>
      <c r="P30">
        <v>330000000000</v>
      </c>
      <c r="Q30">
        <v>-1.3</v>
      </c>
      <c r="R30">
        <v>0.66300000000000003</v>
      </c>
      <c r="S30">
        <v>1.63</v>
      </c>
      <c r="T30">
        <v>2.4300000000000002</v>
      </c>
      <c r="U30">
        <v>0.393666666666667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3:33">
      <c r="M31" t="s">
        <v>117</v>
      </c>
      <c r="N31">
        <v>1300000000000</v>
      </c>
      <c r="O31">
        <v>5300000000000</v>
      </c>
      <c r="P31">
        <v>330000000000</v>
      </c>
      <c r="Q31">
        <v>-1.3</v>
      </c>
      <c r="R31">
        <v>0.66500000000000004</v>
      </c>
      <c r="S31">
        <v>1.53</v>
      </c>
      <c r="T31">
        <v>2.4500000000000002</v>
      </c>
      <c r="U31">
        <v>0.392666666666667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3:33">
      <c r="M32" t="s">
        <v>118</v>
      </c>
      <c r="N32">
        <v>1300000000000</v>
      </c>
      <c r="O32">
        <v>5400000000000</v>
      </c>
      <c r="P32">
        <v>330000000000</v>
      </c>
      <c r="Q32">
        <v>-1.3</v>
      </c>
      <c r="R32">
        <v>0.66700000000000004</v>
      </c>
      <c r="S32">
        <v>1.43</v>
      </c>
      <c r="T32">
        <v>2.4700000000000002</v>
      </c>
      <c r="U32">
        <v>0.391666666666667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3:33">
      <c r="M33" t="s">
        <v>119</v>
      </c>
      <c r="N33">
        <v>1300000000000</v>
      </c>
      <c r="O33">
        <v>5200000000000</v>
      </c>
      <c r="P33">
        <v>360000000000</v>
      </c>
      <c r="Q33">
        <v>-1.3</v>
      </c>
      <c r="R33">
        <v>0.66900000000000004</v>
      </c>
      <c r="S33">
        <v>1.33</v>
      </c>
      <c r="T33">
        <v>2.4900000000000002</v>
      </c>
      <c r="U33">
        <v>0.390666666666667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3:33">
      <c r="M34" t="s">
        <v>120</v>
      </c>
      <c r="N34">
        <v>1400000000000</v>
      </c>
      <c r="O34">
        <v>5300000000000</v>
      </c>
      <c r="P34">
        <v>360000000000</v>
      </c>
      <c r="Q34">
        <v>-1.3</v>
      </c>
      <c r="R34">
        <v>0.67100000000000004</v>
      </c>
      <c r="S34">
        <v>1.23</v>
      </c>
      <c r="T34">
        <v>2.5099999999999998</v>
      </c>
      <c r="U34">
        <v>0.38966666666666699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A7EEA-1AF9-4BB9-91C3-A41AB34000E1}">
  <sheetPr codeName="Sheet11"/>
  <dimension ref="A1:N16"/>
  <sheetViews>
    <sheetView zoomScaleNormal="100" workbookViewId="0">
      <selection activeCell="H19" sqref="H19"/>
    </sheetView>
  </sheetViews>
  <sheetFormatPr defaultRowHeight="18.75"/>
  <cols>
    <col min="1" max="1" width="9.125" customWidth="1"/>
    <col min="3" max="3" width="10" bestFit="1" customWidth="1"/>
  </cols>
  <sheetData>
    <row r="1" spans="1:14">
      <c r="A1" t="s">
        <v>125</v>
      </c>
      <c r="F1" s="29" t="s">
        <v>155</v>
      </c>
    </row>
    <row r="2" spans="1:14">
      <c r="A2" s="16" t="s">
        <v>150</v>
      </c>
      <c r="B2" s="16" t="s">
        <v>151</v>
      </c>
      <c r="C2" s="16" t="s">
        <v>152</v>
      </c>
    </row>
    <row r="3" spans="1:14">
      <c r="A3" s="14">
        <v>1100000000000</v>
      </c>
      <c r="B3" s="14">
        <v>200000000000</v>
      </c>
      <c r="C3" s="14">
        <v>311000000000</v>
      </c>
      <c r="F3" t="s">
        <v>131</v>
      </c>
    </row>
    <row r="4" spans="1:14">
      <c r="A4" s="14">
        <v>1200000000000</v>
      </c>
      <c r="B4" s="14">
        <v>200000000000</v>
      </c>
      <c r="C4" s="10">
        <v>330000000000</v>
      </c>
      <c r="F4" t="s">
        <v>135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</row>
    <row r="5" spans="1:14">
      <c r="A5" s="14">
        <v>1300000000000</v>
      </c>
      <c r="B5" s="14">
        <v>300000000000</v>
      </c>
      <c r="C5" s="14">
        <v>330000000000</v>
      </c>
      <c r="F5" t="s">
        <v>130</v>
      </c>
      <c r="G5" t="s">
        <v>126</v>
      </c>
      <c r="H5" t="s">
        <v>127</v>
      </c>
      <c r="I5" t="s">
        <v>128</v>
      </c>
      <c r="J5" t="s">
        <v>129</v>
      </c>
    </row>
    <row r="6" spans="1:14">
      <c r="A6" s="14">
        <v>1300000000000</v>
      </c>
      <c r="B6" s="14">
        <v>300000000000</v>
      </c>
      <c r="C6" s="14">
        <v>360000000000</v>
      </c>
      <c r="F6">
        <v>5200000000000</v>
      </c>
      <c r="G6">
        <v>0.64900000000000002</v>
      </c>
      <c r="H6">
        <v>0.65500000000000003</v>
      </c>
      <c r="I6">
        <v>0.66300000000000003</v>
      </c>
      <c r="J6">
        <v>0.66900000000000004</v>
      </c>
    </row>
    <row r="7" spans="1:14">
      <c r="F7">
        <v>5300000000000</v>
      </c>
      <c r="G7">
        <v>0.65100000000000002</v>
      </c>
      <c r="H7">
        <v>0.65700000000000003</v>
      </c>
      <c r="I7">
        <v>0.66500000000000004</v>
      </c>
      <c r="J7">
        <v>0.67100000000000004</v>
      </c>
    </row>
    <row r="8" spans="1:14">
      <c r="F8">
        <v>5400000000000</v>
      </c>
      <c r="G8">
        <v>0.65300000000000002</v>
      </c>
      <c r="H8">
        <v>0.65900000000000003</v>
      </c>
      <c r="I8">
        <v>0.66700000000000004</v>
      </c>
    </row>
    <row r="9" spans="1:14">
      <c r="F9">
        <v>5500000000000</v>
      </c>
      <c r="H9">
        <v>0.66100000000000003</v>
      </c>
    </row>
    <row r="12" spans="1:14">
      <c r="F12" t="s">
        <v>132</v>
      </c>
      <c r="G12" t="s">
        <v>126</v>
      </c>
      <c r="H12" t="s">
        <v>127</v>
      </c>
      <c r="I12" t="s">
        <v>128</v>
      </c>
      <c r="J12" t="s">
        <v>129</v>
      </c>
      <c r="K12" t="s">
        <v>133</v>
      </c>
      <c r="L12" t="s">
        <v>134</v>
      </c>
    </row>
    <row r="13" spans="1:14">
      <c r="F13">
        <v>5200000000000</v>
      </c>
      <c r="G13">
        <v>0.64900000000000002</v>
      </c>
      <c r="H13">
        <v>0.65500000000000003</v>
      </c>
      <c r="I13">
        <v>0.66300000000000003</v>
      </c>
      <c r="J13">
        <v>0.66900000000000004</v>
      </c>
      <c r="K13">
        <v>0.66900000000000004</v>
      </c>
      <c r="L13">
        <v>0.66900000000000004</v>
      </c>
    </row>
    <row r="14" spans="1:14">
      <c r="F14">
        <v>5300000000000</v>
      </c>
      <c r="G14">
        <v>0.65100000000000002</v>
      </c>
      <c r="H14">
        <v>0.65700000000000003</v>
      </c>
      <c r="I14">
        <v>0.66500000000000004</v>
      </c>
      <c r="J14">
        <v>0.67100000000000004</v>
      </c>
      <c r="K14">
        <v>0.67100000000000004</v>
      </c>
      <c r="L14">
        <v>0.67100000000000004</v>
      </c>
    </row>
    <row r="15" spans="1:14">
      <c r="F15">
        <v>5400000000000</v>
      </c>
      <c r="G15">
        <v>0.65300000000000002</v>
      </c>
      <c r="H15">
        <v>0.65900000000000003</v>
      </c>
      <c r="I15">
        <v>0.66700000000000004</v>
      </c>
    </row>
    <row r="16" spans="1:14">
      <c r="F16">
        <v>5500000000000</v>
      </c>
      <c r="H16">
        <v>0.66100000000000003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グラフ作成</vt:lpstr>
      <vt:lpstr>設定ファイル</vt:lpstr>
      <vt:lpstr>条件表</vt:lpstr>
      <vt:lpstr>DataTable</vt:lpstr>
      <vt:lpstr>サマリ</vt:lpstr>
      <vt:lpstr>散布図</vt:lpstr>
      <vt:lpstr>例_散布図</vt:lpstr>
      <vt:lpstr>work_jyoken</vt:lpstr>
      <vt:lpstr>work_graph</vt:lpstr>
      <vt:lpstr>work_scatter1</vt:lpstr>
      <vt:lpstr>work_scatter2</vt:lpstr>
      <vt:lpstr>結果グラフ_サマリ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2021-08-24T03:59:01Z</dcterms:modified>
</cp:coreProperties>
</file>