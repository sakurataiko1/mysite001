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0D1C764F-74F7-4FF7-8013-8A36578CFBA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52" r:id="rId4"/>
    <sheet name="DataTable_bck" sheetId="23" r:id="rId5"/>
    <sheet name="サマリ" sheetId="16" r:id="rId6"/>
    <sheet name="BCK_サマリ" sheetId="43" r:id="rId7"/>
    <sheet name="散布図" sheetId="8" r:id="rId8"/>
    <sheet name="BCK_散布図" sheetId="44" r:id="rId9"/>
    <sheet name="例_散布図" sheetId="4" r:id="rId10"/>
    <sheet name="work_template" sheetId="42" r:id="rId11"/>
    <sheet name="work_jyoken" sheetId="12" r:id="rId12"/>
    <sheet name="work_graph" sheetId="7" r:id="rId13"/>
    <sheet name="work_scatter1" sheetId="13" r:id="rId14"/>
    <sheet name="src_jyoken" sheetId="50" r:id="rId15"/>
  </sheets>
  <functionGroups builtInGroupCount="19"/>
  <definedNames>
    <definedName name="_xlnm._FilterDatabase" localSheetId="8" hidden="1">BCK_散布図!#REF!</definedName>
    <definedName name="_xlnm._FilterDatabase" localSheetId="3" hidden="1">DataTable!$F$1:$Q$16</definedName>
    <definedName name="_xlnm._FilterDatabase" localSheetId="4" hidden="1">DataTable_bck!$F$1:$Q$16</definedName>
    <definedName name="_xlnm._FilterDatabase" localSheetId="13" hidden="1">work_scatter1!#REF!</definedName>
    <definedName name="_xlnm._FilterDatabase" localSheetId="7" hidden="1">散布図!#REF!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2" l="1"/>
  <c r="D6" i="52"/>
  <c r="D5" i="52"/>
  <c r="K67" i="50"/>
  <c r="K66" i="50"/>
  <c r="K65" i="50"/>
  <c r="K47" i="50"/>
  <c r="K46" i="50"/>
  <c r="K45" i="50"/>
  <c r="K35" i="50"/>
  <c r="K34" i="50"/>
  <c r="K33" i="50"/>
  <c r="K32" i="50"/>
  <c r="K31" i="50"/>
  <c r="K30" i="50"/>
  <c r="K13" i="50"/>
  <c r="K12" i="50"/>
  <c r="K11" i="50"/>
  <c r="D7" i="23"/>
  <c r="D6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<sst xmlns="http://schemas.openxmlformats.org/spreadsheetml/2006/main" count="817" uniqueCount="217">
  <si>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</si>
  <si>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</si>
  <si>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</si>
  <si>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</si>
  <si>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</si>
  <si>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</si>
  <si>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</si>
  <si>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</si>
  <si>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</si>
  <si>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</si>
  <si>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</si>
  <si>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</si>
  <si>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</si>
  <si>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</si>
  <si>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</si>
  <si>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</si>
  <si>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</si>
  <si>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</si>
  <si>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</si>
  <si>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</si>
  <si>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</si>
  <si>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</si>
  <si>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</si>
  <si>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</si>
  <si>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</si>
  <si>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</si>
  <si>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</si>
  <si>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</si>
  <si>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</si>
  <si>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</si>
  <si>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</si>
  <si>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</si>
  <si>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</si>
  <si>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</si>
  <si>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</si>
  <si>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</si>
  <si>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</si>
  <si>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</si>
  <si>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</si>
  <si>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</si>
  <si>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</si>
  <si>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</si>
  <si>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</si>
  <si>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</si>
  <si>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</si>
  <si>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</si>
  <si>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</si>
  <si>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</si>
  <si>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</si>
  <si>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</si>
  <si>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</si>
  <si>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</si>
  <si>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</si>
  <si>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</si>
  <si>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</si>
  <si>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</si>
  <si>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</si>
  <si>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</si>
  <si>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</si>
  <si>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</si>
  <si>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</si>
  <si>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</si>
  <si>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</si>
  <si>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</si>
  <si>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</si>
  <si>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</si>
  <si>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</si>
  <si>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</si>
  <si>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</si>
  <si>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</si>
  <si>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</si>
  <si>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</si>
  <si>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</si>
  <si>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</si>
  <si>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</si>
  <si>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</si>
  <si>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</si>
  <si>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</si>
  <si>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</si>
  <si>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</si>
  <si>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</si>
  <si>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</si>
  <si>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</si>
  <si>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</si>
  <si>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</si>
  <si>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</si>
  <si>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</si>
  <si>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</si>
  <si>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</si>
  <si>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</si>
  <si>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</si>
  <si>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</si>
  <si>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</si>
  <si>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</si>
  <si>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</si>
  <si>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</si>
  <si>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</si>
  <si>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</si>
  <si>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</si>
  <si>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</si>
  <si>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</si>
  <si>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</si>
  <si>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</si>
  <si>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</si>
  <si>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</si>
  <si>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</si>
  <si>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</si>
  <si>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</si>
  <si>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</si>
  <si>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</si>
  <si>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</si>
  <si>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</si>
  <si>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</si>
  <si>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imp01</t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</si>
  <si>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</si>
  <si>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</si>
  <si>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</si>
  <si>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</si>
  <si>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</si>
  <si>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</si>
  <si>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</si>
  <si>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</si>
  <si>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Field</t>
  </si>
  <si>
    <t>Unit</t>
  </si>
  <si>
    <t>group</t>
  </si>
  <si>
    <t>x</t>
  </si>
  <si>
    <t>jyoken</t>
  </si>
  <si>
    <t>NAME</t>
  </si>
  <si>
    <t>filter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</si>
  <si>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</si>
  <si>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</si>
  <si>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</si>
  <si>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</si>
  <si>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</si>
  <si>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</si>
  <si>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</si>
  <si>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</si>
  <si>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</si>
  <si>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</si>
  <si>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</si>
  <si>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</si>
  <si>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</si>
  <si>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</si>
  <si>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</si>
  <si>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</si>
  <si>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</si>
  <si>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</si>
  <si>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e12</t>
    <phoneticPr fontId="1"/>
  </si>
  <si>
    <t>e11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</si>
  <si>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</si>
  <si>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</si>
  <si>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</si>
  <si>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</si>
  <si>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</si>
  <si>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</si>
  <si>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</si>
  <si>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</si>
  <si>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</si>
  <si>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</si>
  <si>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</si>
  <si>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</si>
  <si>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</si>
  <si>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</si>
  <si>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</si>
  <si>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</si>
  <si>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</si>
  <si>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</si>
  <si>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</si>
  <si>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</si>
  <si>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</si>
  <si>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</si>
  <si>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</si>
  <si>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</si>
  <si>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C:\kuroda\work\00_TCAD\20210701_PDsim\第1要望_自動グラフ作成_Excelマクロ\デバッグ用_マクロインプットデータ\マクロインプットデータ_条件表.xlsx</t>
    <phoneticPr fontId="1"/>
  </si>
  <si>
    <t>指定範囲 $E$10:$A$22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</si>
  <si>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</si>
  <si>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C:\kuroda\work\00_TCAD\20210701_PDsim\第1要望_自動グラフ作成_Excelマクロ\デバッグ用_マクロインプットデータ\マクロインプットデータ_speedData.xlsx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</si>
  <si>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</si>
  <si>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</si>
  <si>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</si>
  <si>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</si>
  <si>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</si>
  <si>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グラフ作成_散布図_Y軸_ユーザー選択</t>
  </si>
  <si>
    <t>01_TGoff_Extract7</t>
    <phoneticPr fontId="1"/>
  </si>
  <si>
    <t>01_TGon_Extract4</t>
    <phoneticPr fontId="1"/>
  </si>
  <si>
    <t>01_TGoff_Extract1</t>
    <phoneticPr fontId="1"/>
  </si>
  <si>
    <t>y_01_TGoff_Extract1</t>
  </si>
  <si>
    <t>y_01_TGon_Extract4</t>
  </si>
  <si>
    <t>y_01_TGoff_Extract7</t>
  </si>
  <si>
    <t>y_03_Qs_Extract2</t>
  </si>
  <si>
    <t>Y軸=toku1 :01_TGoff_Extract1</t>
  </si>
  <si>
    <t>Y軸=tokuA :01_TGon_Extract4</t>
  </si>
  <si>
    <t>Y軸=SRpot :01_TGoff_Extract7</t>
  </si>
  <si>
    <t>Y軸=Qs02 :03_Qs_Extract2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</si>
  <si>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</si>
  <si>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</si>
  <si>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</si>
  <si>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</si>
  <si>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</si>
  <si>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CWL1_dose =1.10E+12,1SR_dose =-1.10E+00,</t>
  </si>
  <si>
    <t>CWL1_dose =1.20E+12,1SR_dose =-1.10E+00,</t>
  </si>
  <si>
    <t>CWL1_dose =1.30E+12,1SR_dose =-1.10E+00,</t>
  </si>
  <si>
    <t>CWL1_dose =1.10E+12,1SR_dose =-1.20E+00,</t>
  </si>
  <si>
    <t>CWL1_dose =1.20E+12,1SR_dose =-1.20E+00,</t>
  </si>
  <si>
    <t>CWL1_dose =1.30E+12,1SR_dose =-1.20E+00,</t>
  </si>
  <si>
    <t>CWL1_dose =1.10E+12,1SR_dose =-1.30E+00,</t>
  </si>
  <si>
    <t>CWL1_dose =1.20E+12,1SR_dose =-1.30E+00,</t>
  </si>
  <si>
    <t>CWL1_dose =1.30E+12,1SR_dose =-1.30E+00,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</si>
  <si>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</si>
  <si>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</si>
  <si>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</si>
  <si>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03_Qs_Extract2</t>
    <phoneticPr fontId="1"/>
  </si>
  <si>
    <t>■[DEBUG] data_ary内容</t>
    <phoneticPr fontId="1"/>
  </si>
  <si>
    <t>CWL1_dose =1.40E+12,1SR_dose =-1.10E+00,</t>
  </si>
  <si>
    <t>CWL1_dose =1.40E+12,1SR_dose =-1.20E+00,</t>
  </si>
  <si>
    <t>CWL1_dose =1.40E+12,1SR_dose =-1.30E+00,</t>
  </si>
  <si>
    <t>グラフ作成_散布図_X軸コンボボックス_ユーザー選択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</si>
</sst>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Border="1"/>
    <xf numFmtId="0" fontId="0" fillId="19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サマリ!$B$1</c:f>
          <c:strCache>
            <c:ptCount val="1"/>
            <c:pt idx="0">
              <c:v>toku1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C0-4C39-BE11-01D80FB33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69-4F47-A96D-8CC1D6AF0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42-42C6-9345-590E26658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F-4428-8C7A-117DD7551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A-41DB-940D-FA5DD4DD3224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6A-41DB-940D-FA5DD4DD3224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6A-41DB-940D-FA5DD4DD3224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=1.40E+12,1SR_dose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6A-41DB-940D-FA5DD4DD3224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=1.10E+12,1SR_dose =-1.20E+00,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6A-41DB-940D-FA5DD4DD3224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=1.20E+12,1SR_dose =-1.20E+00,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6A-41DB-940D-FA5DD4DD3224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=1.30E+12,1SR_dose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6A-41DB-940D-FA5DD4DD3224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=1.40E+12,1SR_dose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6A-41DB-940D-FA5DD4DD3224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=1.10E+12,1SR_dose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26A-41DB-940D-FA5DD4DD3224}"/>
            </c:ext>
          </c:extLst>
        </c:ser>
        <c:ser>
          <c:idx val="9"/>
          <c:order val="9"/>
          <c:tx>
            <c:strRef>
              <c:f>散布図!$K$6</c:f>
              <c:strCache>
                <c:ptCount val="1"/>
                <c:pt idx="0">
                  <c:v>CWL1_dose =1.20E+12,1SR_dose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散布図!$K$7:$K$9</c:f>
              <c:numCache>
                <c:formatCode>General</c:formatCode>
                <c:ptCount val="3"/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6A-41DB-940D-FA5DD4DD3224}"/>
            </c:ext>
          </c:extLst>
        </c:ser>
        <c:ser>
          <c:idx val="10"/>
          <c:order val="10"/>
          <c:tx>
            <c:strRef>
              <c:f>散布図!$L$6</c:f>
              <c:strCache>
                <c:ptCount val="1"/>
                <c:pt idx="0">
                  <c:v>CWL1_dose =1.30E+12,1SR_dose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散布図!$L$7:$L$9</c:f>
              <c:numCache>
                <c:formatCode>General</c:formatCode>
                <c:ptCount val="3"/>
                <c:pt idx="0">
                  <c:v>0.66900000000000004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6A-41DB-940D-FA5DD4DD3224}"/>
            </c:ext>
          </c:extLst>
        </c:ser>
        <c:ser>
          <c:idx val="11"/>
          <c:order val="11"/>
          <c:tx>
            <c:strRef>
              <c:f>散布図!$M$6</c:f>
              <c:strCache>
                <c:ptCount val="1"/>
                <c:pt idx="0">
                  <c:v>CWL1_dose =1.40E+12,1SR_dose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散布図!$M$7:$M$9</c:f>
              <c:numCache>
                <c:formatCode>General</c:formatCode>
                <c:ptCount val="3"/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6A-41DB-940D-FA5DD4DD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FC-48AA-850E-3F68AA07063A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FC-48AA-850E-3F68AA07063A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FC-48AA-850E-3F68AA07063A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=1.40E+12,1SR_dose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FC-48AA-850E-3F68AA07063A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=1.10E+12,1SR_dose =-1.20E+00,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FC-48AA-850E-3F68AA07063A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=1.20E+12,1SR_dose =-1.20E+00,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FC-48AA-850E-3F68AA07063A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=1.30E+12,1SR_dose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3FC-48AA-850E-3F68AA07063A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=1.40E+12,1SR_dose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3FC-48AA-850E-3F68AA07063A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=1.10E+12,1SR_dose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3FC-48AA-850E-3F68AA07063A}"/>
            </c:ext>
          </c:extLst>
        </c:ser>
        <c:ser>
          <c:idx val="9"/>
          <c:order val="9"/>
          <c:tx>
            <c:strRef>
              <c:f>散布図!$K$14</c:f>
              <c:strCache>
                <c:ptCount val="1"/>
                <c:pt idx="0">
                  <c:v>CWL1_dose =1.20E+12,1SR_dose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散布図!$K$15:$K$17</c:f>
              <c:numCache>
                <c:formatCode>General</c:formatCode>
                <c:ptCount val="3"/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3FC-48AA-850E-3F68AA07063A}"/>
            </c:ext>
          </c:extLst>
        </c:ser>
        <c:ser>
          <c:idx val="10"/>
          <c:order val="10"/>
          <c:tx>
            <c:strRef>
              <c:f>散布図!$L$14</c:f>
              <c:strCache>
                <c:ptCount val="1"/>
                <c:pt idx="0">
                  <c:v>CWL1_dose =1.30E+12,1SR_dose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散布図!$L$15:$L$17</c:f>
              <c:numCache>
                <c:formatCode>General</c:formatCode>
                <c:ptCount val="3"/>
                <c:pt idx="0">
                  <c:v>1.33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3FC-48AA-850E-3F68AA07063A}"/>
            </c:ext>
          </c:extLst>
        </c:ser>
        <c:ser>
          <c:idx val="11"/>
          <c:order val="11"/>
          <c:tx>
            <c:strRef>
              <c:f>散布図!$M$14</c:f>
              <c:strCache>
                <c:ptCount val="1"/>
                <c:pt idx="0">
                  <c:v>CWL1_dose =1.40E+12,1SR_dose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散布図!$M$15:$M$17</c:f>
              <c:numCache>
                <c:formatCode>General</c:formatCode>
                <c:ptCount val="3"/>
                <c:pt idx="1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3FC-48AA-850E-3F68AA070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0-474F-8E6C-0251EA12552F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C0-474F-8E6C-0251EA12552F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C0-474F-8E6C-0251EA12552F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=1.40E+12,1SR_dose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C0-474F-8E6C-0251EA12552F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=1.10E+12,1SR_dose =-1.20E+00,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C0-474F-8E6C-0251EA12552F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=1.20E+12,1SR_dose =-1.20E+00,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C0-474F-8E6C-0251EA12552F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=1.30E+12,1SR_dose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C0-474F-8E6C-0251EA12552F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=1.40E+12,1SR_dose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C0-474F-8E6C-0251EA12552F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=1.10E+12,1SR_dose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AC0-474F-8E6C-0251EA12552F}"/>
            </c:ext>
          </c:extLst>
        </c:ser>
        <c:ser>
          <c:idx val="9"/>
          <c:order val="9"/>
          <c:tx>
            <c:strRef>
              <c:f>散布図!$K$22</c:f>
              <c:strCache>
                <c:ptCount val="1"/>
                <c:pt idx="0">
                  <c:v>CWL1_dose =1.20E+12,1SR_dose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散布図!$K$23:$K$25</c:f>
              <c:numCache>
                <c:formatCode>General</c:formatCode>
                <c:ptCount val="3"/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AC0-474F-8E6C-0251EA12552F}"/>
            </c:ext>
          </c:extLst>
        </c:ser>
        <c:ser>
          <c:idx val="10"/>
          <c:order val="10"/>
          <c:tx>
            <c:strRef>
              <c:f>散布図!$L$22</c:f>
              <c:strCache>
                <c:ptCount val="1"/>
                <c:pt idx="0">
                  <c:v>CWL1_dose =1.30E+12,1SR_dose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散布図!$L$23:$L$25</c:f>
              <c:numCache>
                <c:formatCode>General</c:formatCode>
                <c:ptCount val="3"/>
                <c:pt idx="0">
                  <c:v>2.4900000000000002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AC0-474F-8E6C-0251EA12552F}"/>
            </c:ext>
          </c:extLst>
        </c:ser>
        <c:ser>
          <c:idx val="11"/>
          <c:order val="11"/>
          <c:tx>
            <c:strRef>
              <c:f>散布図!$M$22</c:f>
              <c:strCache>
                <c:ptCount val="1"/>
                <c:pt idx="0">
                  <c:v>CWL1_dose =1.40E+12,1SR_dose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散布図!$M$23:$M$25</c:f>
              <c:numCache>
                <c:formatCode>General</c:formatCode>
                <c:ptCount val="3"/>
                <c:pt idx="1">
                  <c:v>2.5099999999999998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AC0-474F-8E6C-0251EA125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3-452D-AEF2-C98236D0ABA5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A3-452D-AEF2-C98236D0ABA5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A3-452D-AEF2-C98236D0ABA5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=1.40E+12,1SR_dose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A3-452D-AEF2-C98236D0ABA5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=1.10E+12,1SR_dose =-1.20E+00,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A3-452D-AEF2-C98236D0ABA5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=1.20E+12,1SR_dose =-1.20E+00,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0.395666666666667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A3-452D-AEF2-C98236D0ABA5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=1.30E+12,1SR_dose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2A3-452D-AEF2-C98236D0ABA5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=1.40E+12,1SR_dose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2A3-452D-AEF2-C98236D0ABA5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=1.10E+12,1SR_dose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2A3-452D-AEF2-C98236D0ABA5}"/>
            </c:ext>
          </c:extLst>
        </c:ser>
        <c:ser>
          <c:idx val="9"/>
          <c:order val="9"/>
          <c:tx>
            <c:strRef>
              <c:f>散布図!$K$30</c:f>
              <c:strCache>
                <c:ptCount val="1"/>
                <c:pt idx="0">
                  <c:v>CWL1_dose =1.20E+12,1SR_dose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散布図!$K$31:$K$33</c:f>
              <c:numCache>
                <c:formatCode>General</c:formatCode>
                <c:ptCount val="3"/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2A3-452D-AEF2-C98236D0ABA5}"/>
            </c:ext>
          </c:extLst>
        </c:ser>
        <c:ser>
          <c:idx val="10"/>
          <c:order val="10"/>
          <c:tx>
            <c:strRef>
              <c:f>散布図!$L$30</c:f>
              <c:strCache>
                <c:ptCount val="1"/>
                <c:pt idx="0">
                  <c:v>CWL1_dose =1.30E+12,1SR_dose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散布図!$L$31:$L$33</c:f>
              <c:numCache>
                <c:formatCode>General</c:formatCode>
                <c:ptCount val="3"/>
                <c:pt idx="0">
                  <c:v>0.390666666666667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2A3-452D-AEF2-C98236D0ABA5}"/>
            </c:ext>
          </c:extLst>
        </c:ser>
        <c:ser>
          <c:idx val="11"/>
          <c:order val="11"/>
          <c:tx>
            <c:strRef>
              <c:f>散布図!$M$30</c:f>
              <c:strCache>
                <c:ptCount val="1"/>
                <c:pt idx="0">
                  <c:v>CWL1_dose =1.40E+12,1SR_dose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散布図!$M$31:$M$33</c:f>
              <c:numCache>
                <c:formatCode>General</c:formatCode>
                <c:ptCount val="3"/>
                <c:pt idx="1">
                  <c:v>0.38966666666666699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2A3-452D-AEF2-C98236D0A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14" name="graph_sumary_1">
          <a:extLst>
            <a:ext uri="{FF2B5EF4-FFF2-40B4-BE49-F238E27FC236}">
              <a16:creationId xmlns:a16="http://schemas.microsoft.com/office/drawing/2014/main" id="{3CC15664-698E-49BC-A113-C608FBF2A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15" name="graph_summary_2">
          <a:extLst>
            <a:ext uri="{FF2B5EF4-FFF2-40B4-BE49-F238E27FC236}">
              <a16:creationId xmlns:a16="http://schemas.microsoft.com/office/drawing/2014/main" id="{8818AF2C-D913-44EB-86F3-C80F3AE94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16" name="graph_summary_3">
          <a:extLst>
            <a:ext uri="{FF2B5EF4-FFF2-40B4-BE49-F238E27FC236}">
              <a16:creationId xmlns:a16="http://schemas.microsoft.com/office/drawing/2014/main" id="{EE8B7928-EB3F-41C8-94A4-993E03FE5A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17" name="graph_summary_4">
          <a:extLst>
            <a:ext uri="{FF2B5EF4-FFF2-40B4-BE49-F238E27FC236}">
              <a16:creationId xmlns:a16="http://schemas.microsoft.com/office/drawing/2014/main" id="{004DF989-AF07-449C-BCD0-716BBCD951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10" name="graph_scatter_0">
          <a:extLst>
            <a:ext uri="{FF2B5EF4-FFF2-40B4-BE49-F238E27FC236}">
              <a16:creationId xmlns:a16="http://schemas.microsoft.com/office/drawing/2014/main" id="{A67CBDA7-9187-4048-B26C-43FAC371B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1" name="graph_scatter_2">
          <a:extLst>
            <a:ext uri="{FF2B5EF4-FFF2-40B4-BE49-F238E27FC236}">
              <a16:creationId xmlns:a16="http://schemas.microsoft.com/office/drawing/2014/main" id="{D611F387-DE63-4043-A172-D4C729BE5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12" name="graph_scatter_3">
          <a:extLst>
            <a:ext uri="{FF2B5EF4-FFF2-40B4-BE49-F238E27FC236}">
              <a16:creationId xmlns:a16="http://schemas.microsoft.com/office/drawing/2014/main" id="{320FB1EB-BBF3-4D41-95F5-CD6999C28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13" name="graph_scatter_4">
          <a:extLst>
            <a:ext uri="{FF2B5EF4-FFF2-40B4-BE49-F238E27FC236}">
              <a16:creationId xmlns:a16="http://schemas.microsoft.com/office/drawing/2014/main" id="{E7BA0505-B6E4-4CCE-93F2-5BF6739C3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173</v>
      </c>
    </row>
    <row r="5" spans="1:22">
      <c r="E5" s="13" t="s">
        <v>174</v>
      </c>
    </row>
    <row r="7" spans="1:22">
      <c r="E7" s="13" t="s">
        <v>175</v>
      </c>
    </row>
    <row r="9" spans="1:22">
      <c r="E9" s="13" t="s">
        <v>176</v>
      </c>
    </row>
    <row r="10" spans="1:22" ht="45.75" customHeight="1"/>
    <row r="11" spans="1:22" ht="45.75" customHeight="1"/>
    <row r="12" spans="1:22">
      <c r="A12" s="30" t="s">
        <v>63</v>
      </c>
      <c r="B12" s="29"/>
      <c r="C12" s="29"/>
      <c r="D12" s="29" t="s">
        <v>66</v>
      </c>
      <c r="E12" s="29"/>
      <c r="F12" s="29"/>
      <c r="I12" s="29"/>
      <c r="J12" s="29" t="s">
        <v>112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</row>
    <row r="13" spans="1:22">
      <c r="A13" s="29"/>
      <c r="B13" s="29"/>
      <c r="C13" s="29"/>
      <c r="D13" s="29" t="s">
        <v>111</v>
      </c>
      <c r="E13" s="29"/>
      <c r="F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</row>
    <row r="14" spans="1:22">
      <c r="A14" s="29"/>
      <c r="B14" s="29">
        <v>3</v>
      </c>
      <c r="C14" s="29"/>
      <c r="D14" s="31"/>
      <c r="E14" s="32" t="s">
        <v>0</v>
      </c>
      <c r="F14" s="32" t="s">
        <v>118</v>
      </c>
      <c r="G14" s="29"/>
      <c r="H14" s="29"/>
      <c r="J14" s="16" t="s">
        <v>115</v>
      </c>
      <c r="K14" s="16" t="s">
        <v>114</v>
      </c>
      <c r="L14" s="16" t="s">
        <v>115</v>
      </c>
      <c r="M14" s="16" t="s">
        <v>104</v>
      </c>
      <c r="N14" s="16" t="s">
        <v>115</v>
      </c>
      <c r="O14" s="16" t="s">
        <v>106</v>
      </c>
      <c r="P14" s="16" t="s">
        <v>115</v>
      </c>
      <c r="Q14" s="16" t="s">
        <v>107</v>
      </c>
      <c r="R14" s="16" t="s">
        <v>115</v>
      </c>
      <c r="S14" s="16" t="s">
        <v>108</v>
      </c>
      <c r="T14" s="16" t="s">
        <v>115</v>
      </c>
      <c r="U14" s="16" t="s">
        <v>109</v>
      </c>
      <c r="V14" s="29"/>
    </row>
    <row r="15" spans="1:22">
      <c r="A15" s="29"/>
      <c r="B15" s="29"/>
      <c r="C15" s="29"/>
      <c r="D15" s="14" t="s">
        <v>116</v>
      </c>
      <c r="E15" s="14" t="s">
        <v>84</v>
      </c>
      <c r="F15" s="14" t="s">
        <v>24</v>
      </c>
      <c r="G15" s="29"/>
      <c r="H15" s="29"/>
      <c r="J15" s="14" t="s">
        <v>116</v>
      </c>
      <c r="K15" s="14">
        <v>1100000000000</v>
      </c>
      <c r="L15" s="14"/>
      <c r="M15" s="14">
        <v>200000000000</v>
      </c>
      <c r="N15" s="14"/>
      <c r="O15" s="14">
        <v>5200000000000</v>
      </c>
      <c r="P15" s="14"/>
      <c r="Q15" s="14">
        <v>1</v>
      </c>
      <c r="R15" s="14"/>
      <c r="S15" s="14">
        <v>311000000000</v>
      </c>
      <c r="T15" s="14" t="s">
        <v>116</v>
      </c>
      <c r="U15" s="14">
        <v>-1.1000000000000001</v>
      </c>
      <c r="V15" s="29"/>
    </row>
    <row r="16" spans="1:22">
      <c r="A16" s="29"/>
      <c r="B16" s="29"/>
      <c r="C16" s="29"/>
      <c r="D16" s="14" t="s">
        <v>116</v>
      </c>
      <c r="E16" s="14" t="s">
        <v>68</v>
      </c>
      <c r="F16" s="14" t="s">
        <v>24</v>
      </c>
      <c r="G16" s="29"/>
      <c r="H16" s="29"/>
      <c r="J16" s="14" t="s">
        <v>116</v>
      </c>
      <c r="K16" s="14">
        <v>1200000000000</v>
      </c>
      <c r="L16" s="14"/>
      <c r="M16" s="14">
        <v>300000000000</v>
      </c>
      <c r="N16" s="14"/>
      <c r="O16" s="14">
        <v>5300000000000</v>
      </c>
      <c r="P16" s="14"/>
      <c r="Q16" s="14">
        <v>2</v>
      </c>
      <c r="R16" s="14"/>
      <c r="S16" s="14">
        <v>330000000000</v>
      </c>
      <c r="T16" s="14" t="s">
        <v>116</v>
      </c>
      <c r="U16" s="14">
        <v>-1.2</v>
      </c>
      <c r="V16" s="29"/>
    </row>
    <row r="17" spans="1:22">
      <c r="A17" s="29"/>
      <c r="B17" s="29"/>
      <c r="C17" s="29"/>
      <c r="D17" s="14" t="s">
        <v>116</v>
      </c>
      <c r="E17" s="14" t="s">
        <v>70</v>
      </c>
      <c r="F17" s="14" t="s">
        <v>24</v>
      </c>
      <c r="G17" s="29"/>
      <c r="H17" s="29"/>
      <c r="J17" s="14" t="s">
        <v>116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/>
      <c r="S17" s="14">
        <v>360000000000</v>
      </c>
      <c r="T17" s="14" t="s">
        <v>116</v>
      </c>
      <c r="U17" s="14">
        <v>-1.3</v>
      </c>
      <c r="V17" s="29"/>
    </row>
    <row r="18" spans="1:22">
      <c r="A18" s="29"/>
      <c r="B18" s="29"/>
      <c r="C18" s="29"/>
      <c r="D18" s="14" t="s">
        <v>116</v>
      </c>
      <c r="E18" s="14" t="s">
        <v>74</v>
      </c>
      <c r="F18" s="14" t="s">
        <v>119</v>
      </c>
      <c r="G18" s="29"/>
      <c r="H18" s="29"/>
      <c r="J18" s="14" t="s">
        <v>116</v>
      </c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9"/>
    </row>
    <row r="19" spans="1:22">
      <c r="A19" s="29"/>
      <c r="B19" s="29"/>
      <c r="C19" s="29"/>
      <c r="D19" s="14" t="s">
        <v>116</v>
      </c>
      <c r="E19" s="14" t="s">
        <v>85</v>
      </c>
      <c r="F19" s="14" t="s">
        <v>120</v>
      </c>
      <c r="G19" s="29"/>
      <c r="H19" s="29"/>
      <c r="V19" s="29"/>
    </row>
    <row r="20" spans="1:22">
      <c r="G20" s="29"/>
      <c r="H20" s="29"/>
      <c r="V20" s="29"/>
    </row>
  </sheetData>
  <phoneticPr fontId="1"/>
  <dataValidations count="1">
    <dataValidation type="list" allowBlank="1" showInputMessage="1" showErrorMessage="1" sqref="J15:J19 D14:D19 L15:L19 N15:N19 P15:P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118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119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120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sqref="A1:R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149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150</v>
      </c>
      <c r="B3" s="1">
        <v>1100000000000</v>
      </c>
      <c r="C3" s="1">
        <v>200000000000</v>
      </c>
      <c r="D3" s="2">
        <v>1</v>
      </c>
      <c r="E3" s="22">
        <v>5300000000000</v>
      </c>
      <c r="F3" s="19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151</v>
      </c>
      <c r="B4" s="1">
        <v>1100000000000</v>
      </c>
      <c r="C4" s="1">
        <v>200000000000</v>
      </c>
      <c r="D4" s="2">
        <v>1</v>
      </c>
      <c r="E4" s="27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152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4">
        <v>330000000000</v>
      </c>
      <c r="H5" s="17">
        <v>-1.2</v>
      </c>
      <c r="I5" s="2">
        <v>2</v>
      </c>
    </row>
    <row r="6" spans="1:9">
      <c r="A6" s="2" t="s">
        <v>153</v>
      </c>
      <c r="B6" s="4">
        <v>1200000000000</v>
      </c>
      <c r="C6" s="1">
        <v>200000000000</v>
      </c>
      <c r="D6" s="2">
        <v>1</v>
      </c>
      <c r="E6" s="22">
        <v>5300000000000</v>
      </c>
      <c r="F6" s="19">
        <v>2</v>
      </c>
      <c r="G6" s="24">
        <v>330000000000</v>
      </c>
      <c r="H6" s="17">
        <v>-1.2</v>
      </c>
      <c r="I6" s="2">
        <v>2</v>
      </c>
    </row>
    <row r="7" spans="1:9">
      <c r="A7" s="2" t="s">
        <v>154</v>
      </c>
      <c r="B7" s="4">
        <v>1200000000000</v>
      </c>
      <c r="C7" s="1">
        <v>200000000000</v>
      </c>
      <c r="D7" s="2">
        <v>1</v>
      </c>
      <c r="E7" s="27">
        <v>5400000000000</v>
      </c>
      <c r="F7" s="20">
        <v>3</v>
      </c>
      <c r="G7" s="24">
        <v>330000000000</v>
      </c>
      <c r="H7" s="17">
        <v>-1.2</v>
      </c>
      <c r="I7" s="2">
        <v>2</v>
      </c>
    </row>
    <row r="8" spans="1:9">
      <c r="A8" s="2" t="s">
        <v>155</v>
      </c>
      <c r="B8" s="4">
        <v>1200000000000</v>
      </c>
      <c r="C8" s="1">
        <v>200000000000</v>
      </c>
      <c r="D8" s="2">
        <v>1</v>
      </c>
      <c r="E8" s="23">
        <v>5400000000000</v>
      </c>
      <c r="F8" s="2">
        <v>1</v>
      </c>
      <c r="G8" s="24">
        <v>330000000000</v>
      </c>
      <c r="H8" s="18">
        <v>-1.3</v>
      </c>
      <c r="I8" s="2">
        <v>2</v>
      </c>
    </row>
    <row r="9" spans="1:9">
      <c r="A9" s="2" t="s">
        <v>156</v>
      </c>
      <c r="B9" s="4">
        <v>1300000000000</v>
      </c>
      <c r="C9" s="25">
        <v>300000000000</v>
      </c>
      <c r="D9" s="2">
        <v>1</v>
      </c>
      <c r="E9" s="1">
        <v>5200000000000</v>
      </c>
      <c r="F9" s="19">
        <v>2</v>
      </c>
      <c r="G9" s="24">
        <v>330000000000</v>
      </c>
      <c r="H9" s="18">
        <v>-1.3</v>
      </c>
      <c r="I9" s="2">
        <v>2</v>
      </c>
    </row>
    <row r="10" spans="1:9">
      <c r="A10" s="2" t="s">
        <v>157</v>
      </c>
      <c r="B10" s="4">
        <v>1300000000000</v>
      </c>
      <c r="C10" s="25">
        <v>300000000000</v>
      </c>
      <c r="D10" s="2">
        <v>1</v>
      </c>
      <c r="E10" s="22">
        <v>5300000000000</v>
      </c>
      <c r="F10" s="20">
        <v>3</v>
      </c>
      <c r="G10" s="24">
        <v>330000000000</v>
      </c>
      <c r="H10" s="18">
        <v>-1.3</v>
      </c>
      <c r="I10" s="2">
        <v>2</v>
      </c>
    </row>
    <row r="11" spans="1:9">
      <c r="A11" s="2" t="s">
        <v>158</v>
      </c>
      <c r="B11" s="4">
        <v>1300000000000</v>
      </c>
      <c r="C11" s="25">
        <v>300000000000</v>
      </c>
      <c r="D11" s="2">
        <v>1</v>
      </c>
      <c r="E11" s="27">
        <v>5400000000000</v>
      </c>
      <c r="F11" s="2">
        <v>1</v>
      </c>
      <c r="G11" s="24">
        <v>330000000000</v>
      </c>
      <c r="H11" s="18">
        <v>-1.3</v>
      </c>
      <c r="I11" s="2">
        <v>2</v>
      </c>
    </row>
    <row r="12" spans="1:9">
      <c r="A12" s="2" t="s">
        <v>159</v>
      </c>
      <c r="B12" s="4">
        <v>1300000000000</v>
      </c>
      <c r="C12" s="25">
        <v>300000000000</v>
      </c>
      <c r="D12" s="2">
        <v>1</v>
      </c>
      <c r="E12" s="1">
        <v>5200000000000</v>
      </c>
      <c r="F12" s="19">
        <v>2</v>
      </c>
      <c r="G12" s="26">
        <v>360000000000</v>
      </c>
      <c r="H12" s="18">
        <v>-1.3</v>
      </c>
      <c r="I12" s="2">
        <v>2</v>
      </c>
    </row>
    <row r="13" spans="1:9">
      <c r="A13" s="2" t="s">
        <v>160</v>
      </c>
      <c r="B13" s="4">
        <v>1400000000000</v>
      </c>
      <c r="C13" s="25">
        <v>300000000000</v>
      </c>
      <c r="D13" s="2">
        <v>1</v>
      </c>
      <c r="E13" s="22">
        <v>5300000000000</v>
      </c>
      <c r="F13" s="20">
        <v>3</v>
      </c>
      <c r="G13" s="26">
        <v>360000000000</v>
      </c>
      <c r="H13" s="18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2F43-6F7C-4715-8051-3524AB55651D}">
  <sheetPr codeName="Sheet17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120</v>
      </c>
      <c r="Q1" t="s">
        <v>120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1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120</v>
      </c>
      <c r="Q4" t="s">
        <v>120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7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4">
        <v>330000000000</v>
      </c>
      <c r="E11" s="23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2D599-95D0-4583-BFA3-C8C4F7CE55D0}">
  <sheetPr codeName="Sheet7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120</v>
      </c>
      <c r="Q1" t="s">
        <v>120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1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120</v>
      </c>
      <c r="Q4" t="s">
        <v>120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7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4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4">
        <v>330000000000</v>
      </c>
      <c r="E9" s="22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4">
        <v>330000000000</v>
      </c>
      <c r="E10" s="27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4">
        <v>330000000000</v>
      </c>
      <c r="E11" s="23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5">
        <v>300000000000</v>
      </c>
      <c r="D12" s="24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5">
        <v>300000000000</v>
      </c>
      <c r="D13" s="24">
        <v>330000000000</v>
      </c>
      <c r="E13" s="22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5">
        <v>300000000000</v>
      </c>
      <c r="D14" s="24">
        <v>330000000000</v>
      </c>
      <c r="E14" s="27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5">
        <v>300000000000</v>
      </c>
      <c r="D15" s="26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5">
        <v>300000000000</v>
      </c>
      <c r="D16" s="26">
        <v>360000000000</v>
      </c>
      <c r="E16" s="22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E13"/>
  <sheetViews>
    <sheetView zoomScale="85" zoomScaleNormal="85" workbookViewId="0">
      <selection activeCell="B45" sqref="B45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1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1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M33"/>
  <sheetViews>
    <sheetView zoomScaleNormal="100" workbookViewId="0"/>
  </sheetViews>
  <sheetFormatPr defaultRowHeight="18.75"/>
  <sheetData>
    <row r="1" spans="1:13">
      <c r="A1" t="s">
        <v>129</v>
      </c>
    </row>
    <row r="4" spans="1:13">
      <c r="A4" t="s">
        <v>190</v>
      </c>
    </row>
    <row r="5" spans="1:13">
      <c r="B5" t="s">
        <v>131</v>
      </c>
    </row>
    <row r="6" spans="1:13">
      <c r="A6" t="s">
        <v>132</v>
      </c>
      <c r="B6" t="s">
        <v>199</v>
      </c>
      <c r="C6" t="s">
        <v>200</v>
      </c>
      <c r="D6" t="s">
        <v>201</v>
      </c>
      <c r="E6" t="s">
        <v>213</v>
      </c>
      <c r="F6" t="s">
        <v>202</v>
      </c>
      <c r="G6" t="s">
        <v>203</v>
      </c>
      <c r="H6" t="s">
        <v>204</v>
      </c>
      <c r="I6" t="s">
        <v>214</v>
      </c>
      <c r="J6" t="s">
        <v>205</v>
      </c>
      <c r="K6" t="s">
        <v>206</v>
      </c>
      <c r="L6" t="s">
        <v>207</v>
      </c>
      <c r="M6" t="s">
        <v>215</v>
      </c>
    </row>
    <row r="7" spans="1:13">
      <c r="A7">
        <v>5200000000000</v>
      </c>
      <c r="B7">
        <v>0.64900000000000002</v>
      </c>
      <c r="G7">
        <v>0.65500000000000003</v>
      </c>
      <c r="L7">
        <v>0.66900000000000004</v>
      </c>
    </row>
    <row r="8" spans="1:13">
      <c r="A8">
        <v>5300000000000</v>
      </c>
      <c r="B8">
        <v>0.65100000000000002</v>
      </c>
      <c r="G8">
        <v>0.65700000000000003</v>
      </c>
      <c r="L8">
        <v>0.66500000000000004</v>
      </c>
      <c r="M8">
        <v>0.67100000000000004</v>
      </c>
    </row>
    <row r="9" spans="1:13">
      <c r="A9">
        <v>5400000000000</v>
      </c>
      <c r="F9">
        <v>0.65300000000000002</v>
      </c>
      <c r="G9">
        <v>0.65900000000000003</v>
      </c>
      <c r="K9">
        <v>0.66100000000000003</v>
      </c>
      <c r="L9">
        <v>0.66700000000000004</v>
      </c>
    </row>
    <row r="12" spans="1:13">
      <c r="A12" t="s">
        <v>191</v>
      </c>
    </row>
    <row r="13" spans="1:13">
      <c r="B13" t="s">
        <v>131</v>
      </c>
    </row>
    <row r="14" spans="1:13">
      <c r="A14" t="s">
        <v>132</v>
      </c>
      <c r="B14" t="s">
        <v>199</v>
      </c>
      <c r="C14" t="s">
        <v>200</v>
      </c>
      <c r="D14" t="s">
        <v>201</v>
      </c>
      <c r="E14" t="s">
        <v>213</v>
      </c>
      <c r="F14" t="s">
        <v>202</v>
      </c>
      <c r="G14" t="s">
        <v>203</v>
      </c>
      <c r="H14" t="s">
        <v>204</v>
      </c>
      <c r="I14" t="s">
        <v>214</v>
      </c>
      <c r="J14" t="s">
        <v>205</v>
      </c>
      <c r="K14" t="s">
        <v>206</v>
      </c>
      <c r="L14" t="s">
        <v>207</v>
      </c>
      <c r="M14" t="s">
        <v>215</v>
      </c>
    </row>
    <row r="15" spans="1:13">
      <c r="A15">
        <v>5200000000000</v>
      </c>
      <c r="B15">
        <v>2.33</v>
      </c>
      <c r="G15">
        <v>2.0299999999999998</v>
      </c>
      <c r="L15">
        <v>1.33</v>
      </c>
    </row>
    <row r="16" spans="1:13">
      <c r="A16">
        <v>5300000000000</v>
      </c>
      <c r="B16">
        <v>2.23</v>
      </c>
      <c r="G16">
        <v>1.93</v>
      </c>
      <c r="L16">
        <v>1.53</v>
      </c>
      <c r="M16">
        <v>1.23</v>
      </c>
    </row>
    <row r="17" spans="1:13">
      <c r="A17">
        <v>5400000000000</v>
      </c>
      <c r="F17">
        <v>2.13</v>
      </c>
      <c r="G17">
        <v>1.83</v>
      </c>
      <c r="K17">
        <v>1.73</v>
      </c>
      <c r="L17">
        <v>1.43</v>
      </c>
    </row>
    <row r="20" spans="1:13">
      <c r="A20" t="s">
        <v>192</v>
      </c>
    </row>
    <row r="21" spans="1:13">
      <c r="B21" t="s">
        <v>131</v>
      </c>
    </row>
    <row r="22" spans="1:13">
      <c r="A22" t="s">
        <v>132</v>
      </c>
      <c r="B22" t="s">
        <v>199</v>
      </c>
      <c r="C22" t="s">
        <v>200</v>
      </c>
      <c r="D22" t="s">
        <v>201</v>
      </c>
      <c r="E22" t="s">
        <v>213</v>
      </c>
      <c r="F22" t="s">
        <v>202</v>
      </c>
      <c r="G22" t="s">
        <v>203</v>
      </c>
      <c r="H22" t="s">
        <v>204</v>
      </c>
      <c r="I22" t="s">
        <v>214</v>
      </c>
      <c r="J22" t="s">
        <v>205</v>
      </c>
      <c r="K22" t="s">
        <v>206</v>
      </c>
      <c r="L22" t="s">
        <v>207</v>
      </c>
      <c r="M22" t="s">
        <v>215</v>
      </c>
    </row>
    <row r="23" spans="1:13">
      <c r="A23">
        <v>5200000000000</v>
      </c>
      <c r="B23">
        <v>2.29</v>
      </c>
      <c r="G23">
        <v>2.35</v>
      </c>
      <c r="L23">
        <v>2.4900000000000002</v>
      </c>
    </row>
    <row r="24" spans="1:13">
      <c r="A24">
        <v>5300000000000</v>
      </c>
      <c r="B24">
        <v>2.31</v>
      </c>
      <c r="G24">
        <v>2.37</v>
      </c>
      <c r="L24">
        <v>2.4500000000000002</v>
      </c>
      <c r="M24">
        <v>2.5099999999999998</v>
      </c>
    </row>
    <row r="25" spans="1:13">
      <c r="A25">
        <v>5400000000000</v>
      </c>
      <c r="F25">
        <v>2.33</v>
      </c>
      <c r="G25">
        <v>2.39</v>
      </c>
      <c r="K25">
        <v>2.41</v>
      </c>
      <c r="L25">
        <v>2.4700000000000002</v>
      </c>
    </row>
    <row r="28" spans="1:13">
      <c r="A28" t="s">
        <v>193</v>
      </c>
    </row>
    <row r="29" spans="1:13">
      <c r="B29" t="s">
        <v>131</v>
      </c>
    </row>
    <row r="30" spans="1:13">
      <c r="A30" t="s">
        <v>132</v>
      </c>
      <c r="B30" t="s">
        <v>199</v>
      </c>
      <c r="C30" t="s">
        <v>200</v>
      </c>
      <c r="D30" t="s">
        <v>201</v>
      </c>
      <c r="E30" t="s">
        <v>213</v>
      </c>
      <c r="F30" t="s">
        <v>202</v>
      </c>
      <c r="G30" t="s">
        <v>203</v>
      </c>
      <c r="H30" t="s">
        <v>204</v>
      </c>
      <c r="I30" t="s">
        <v>214</v>
      </c>
      <c r="J30" t="s">
        <v>205</v>
      </c>
      <c r="K30" t="s">
        <v>206</v>
      </c>
      <c r="L30" t="s">
        <v>207</v>
      </c>
      <c r="M30" t="s">
        <v>215</v>
      </c>
    </row>
    <row r="31" spans="1:13">
      <c r="A31">
        <v>5200000000000</v>
      </c>
      <c r="B31">
        <v>0.4</v>
      </c>
      <c r="G31">
        <v>0.397666666666667</v>
      </c>
      <c r="L31">
        <v>0.390666666666667</v>
      </c>
    </row>
    <row r="32" spans="1:13">
      <c r="A32">
        <v>5300000000000</v>
      </c>
      <c r="B32">
        <v>0.40100000000000002</v>
      </c>
      <c r="G32">
        <v>0.396666666666667</v>
      </c>
      <c r="L32">
        <v>0.392666666666667</v>
      </c>
      <c r="M32">
        <v>0.38966666666666699</v>
      </c>
    </row>
    <row r="33" spans="1:12">
      <c r="A33">
        <v>5400000000000</v>
      </c>
      <c r="F33">
        <v>0.39800000000000002</v>
      </c>
      <c r="G33">
        <v>0.395666666666667</v>
      </c>
      <c r="K33">
        <v>0.394666666666667</v>
      </c>
      <c r="L33">
        <v>0.391666666666667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129</v>
      </c>
    </row>
    <row r="4" spans="1:5">
      <c r="A4" t="s">
        <v>130</v>
      </c>
    </row>
    <row r="5" spans="1:5">
      <c r="B5" t="s">
        <v>131</v>
      </c>
    </row>
    <row r="6" spans="1:5">
      <c r="A6" t="s">
        <v>132</v>
      </c>
      <c r="B6" t="s">
        <v>177</v>
      </c>
      <c r="C6" t="s">
        <v>178</v>
      </c>
      <c r="D6" t="s">
        <v>179</v>
      </c>
      <c r="E6" t="s">
        <v>180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133</v>
      </c>
    </row>
    <row r="13" spans="1:5">
      <c r="B13" t="s">
        <v>131</v>
      </c>
    </row>
    <row r="14" spans="1:5">
      <c r="A14" t="s">
        <v>132</v>
      </c>
      <c r="B14" t="s">
        <v>177</v>
      </c>
      <c r="C14" t="s">
        <v>178</v>
      </c>
      <c r="D14" t="s">
        <v>179</v>
      </c>
      <c r="E14" t="s">
        <v>180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134</v>
      </c>
    </row>
    <row r="21" spans="1:5">
      <c r="B21" t="s">
        <v>131</v>
      </c>
    </row>
    <row r="22" spans="1:5">
      <c r="A22" t="s">
        <v>132</v>
      </c>
      <c r="B22" t="s">
        <v>177</v>
      </c>
      <c r="C22" t="s">
        <v>178</v>
      </c>
      <c r="D22" t="s">
        <v>179</v>
      </c>
      <c r="E22" t="s">
        <v>180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135</v>
      </c>
    </row>
    <row r="29" spans="1:5">
      <c r="B29" t="s">
        <v>131</v>
      </c>
    </row>
    <row r="30" spans="1:5">
      <c r="A30" t="s">
        <v>132</v>
      </c>
      <c r="B30" t="s">
        <v>177</v>
      </c>
      <c r="C30" t="s">
        <v>178</v>
      </c>
      <c r="D30" t="s">
        <v>179</v>
      </c>
      <c r="E30" t="s">
        <v>180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topLeftCell="D1" workbookViewId="0">
      <selection activeCell="L15" sqref="L15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1" t="s">
        <v>5</v>
      </c>
      <c r="E1" t="s">
        <v>83</v>
      </c>
      <c r="L1" s="28" t="s">
        <v>117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149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150</v>
      </c>
      <c r="B3" s="1">
        <v>1100000000000</v>
      </c>
      <c r="C3" s="1">
        <v>200000000000</v>
      </c>
      <c r="D3" s="2">
        <v>1</v>
      </c>
      <c r="E3" s="22">
        <v>5300000000000</v>
      </c>
      <c r="F3" s="19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151</v>
      </c>
      <c r="B4" s="1">
        <v>1100000000000</v>
      </c>
      <c r="C4" s="1">
        <v>200000000000</v>
      </c>
      <c r="D4" s="2">
        <v>1</v>
      </c>
      <c r="E4" s="27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152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4">
        <v>330000000000</v>
      </c>
      <c r="H5" s="17">
        <v>-1.2</v>
      </c>
      <c r="I5" s="2">
        <v>2</v>
      </c>
    </row>
    <row r="6" spans="1:9">
      <c r="A6" s="2" t="s">
        <v>153</v>
      </c>
      <c r="B6" s="4">
        <v>1200000000000</v>
      </c>
      <c r="C6" s="1">
        <v>200000000000</v>
      </c>
      <c r="D6" s="2">
        <v>1</v>
      </c>
      <c r="E6" s="22">
        <v>5300000000000</v>
      </c>
      <c r="F6" s="19">
        <v>2</v>
      </c>
      <c r="G6" s="24">
        <v>330000000000</v>
      </c>
      <c r="H6" s="17">
        <v>-1.2</v>
      </c>
      <c r="I6" s="2">
        <v>2</v>
      </c>
    </row>
    <row r="7" spans="1:9">
      <c r="A7" s="2" t="s">
        <v>154</v>
      </c>
      <c r="B7" s="4">
        <v>1200000000000</v>
      </c>
      <c r="C7" s="1">
        <v>200000000000</v>
      </c>
      <c r="D7" s="2">
        <v>1</v>
      </c>
      <c r="E7" s="27">
        <v>5400000000000</v>
      </c>
      <c r="F7" s="20">
        <v>3</v>
      </c>
      <c r="G7" s="24">
        <v>330000000000</v>
      </c>
      <c r="H7" s="17">
        <v>-1.2</v>
      </c>
      <c r="I7" s="2">
        <v>2</v>
      </c>
    </row>
    <row r="8" spans="1:9">
      <c r="A8" s="2" t="s">
        <v>155</v>
      </c>
      <c r="B8" s="4">
        <v>1200000000000</v>
      </c>
      <c r="C8" s="1">
        <v>200000000000</v>
      </c>
      <c r="D8" s="2">
        <v>1</v>
      </c>
      <c r="E8" s="23">
        <v>5400000000000</v>
      </c>
      <c r="F8" s="2">
        <v>1</v>
      </c>
      <c r="G8" s="24">
        <v>330000000000</v>
      </c>
      <c r="H8" s="18">
        <v>-1.3</v>
      </c>
      <c r="I8" s="2">
        <v>2</v>
      </c>
    </row>
    <row r="9" spans="1:9">
      <c r="A9" s="2" t="s">
        <v>156</v>
      </c>
      <c r="B9" s="4">
        <v>1300000000000</v>
      </c>
      <c r="C9" s="25">
        <v>300000000000</v>
      </c>
      <c r="D9" s="2">
        <v>1</v>
      </c>
      <c r="E9" s="1">
        <v>5200000000000</v>
      </c>
      <c r="F9" s="19">
        <v>2</v>
      </c>
      <c r="G9" s="24">
        <v>330000000000</v>
      </c>
      <c r="H9" s="18">
        <v>-1.3</v>
      </c>
      <c r="I9" s="2">
        <v>2</v>
      </c>
    </row>
    <row r="10" spans="1:9">
      <c r="A10" s="2" t="s">
        <v>157</v>
      </c>
      <c r="B10" s="4">
        <v>1300000000000</v>
      </c>
      <c r="C10" s="25">
        <v>300000000000</v>
      </c>
      <c r="D10" s="2">
        <v>1</v>
      </c>
      <c r="E10" s="22">
        <v>5300000000000</v>
      </c>
      <c r="F10" s="20">
        <v>3</v>
      </c>
      <c r="G10" s="24">
        <v>330000000000</v>
      </c>
      <c r="H10" s="18">
        <v>-1.3</v>
      </c>
      <c r="I10" s="2">
        <v>2</v>
      </c>
    </row>
    <row r="11" spans="1:9">
      <c r="A11" s="2" t="s">
        <v>158</v>
      </c>
      <c r="B11" s="4">
        <v>1300000000000</v>
      </c>
      <c r="C11" s="25">
        <v>300000000000</v>
      </c>
      <c r="D11" s="2">
        <v>1</v>
      </c>
      <c r="E11" s="27">
        <v>5400000000000</v>
      </c>
      <c r="F11" s="2">
        <v>1</v>
      </c>
      <c r="G11" s="24">
        <v>330000000000</v>
      </c>
      <c r="H11" s="18">
        <v>-1.3</v>
      </c>
      <c r="I11" s="2">
        <v>2</v>
      </c>
    </row>
    <row r="12" spans="1:9">
      <c r="A12" s="2" t="s">
        <v>159</v>
      </c>
      <c r="B12" s="4">
        <v>1300000000000</v>
      </c>
      <c r="C12" s="25">
        <v>300000000000</v>
      </c>
      <c r="D12" s="2">
        <v>1</v>
      </c>
      <c r="E12" s="1">
        <v>5200000000000</v>
      </c>
      <c r="F12" s="19">
        <v>2</v>
      </c>
      <c r="G12" s="26">
        <v>360000000000</v>
      </c>
      <c r="H12" s="18">
        <v>-1.3</v>
      </c>
      <c r="I12" s="2">
        <v>2</v>
      </c>
    </row>
    <row r="13" spans="1:9">
      <c r="A13" s="2" t="s">
        <v>160</v>
      </c>
      <c r="B13" s="4">
        <v>1400000000000</v>
      </c>
      <c r="C13" s="25">
        <v>300000000000</v>
      </c>
      <c r="D13" s="2">
        <v>1</v>
      </c>
      <c r="E13" s="22">
        <v>5300000000000</v>
      </c>
      <c r="F13" s="20">
        <v>3</v>
      </c>
      <c r="G13" s="26">
        <v>360000000000</v>
      </c>
      <c r="H13" s="18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5"/>
  <sheetViews>
    <sheetView zoomScale="70" zoomScaleNormal="70" workbookViewId="0">
      <selection activeCell="E3" sqref="E3:J7"/>
    </sheetView>
  </sheetViews>
  <sheetFormatPr defaultRowHeight="18.75"/>
  <sheetData>
    <row r="1" spans="1:30">
      <c r="A1" t="s">
        <v>181</v>
      </c>
      <c r="D1" t="s">
        <v>121</v>
      </c>
      <c r="N1" t="s">
        <v>182</v>
      </c>
      <c r="T1" t="s">
        <v>208</v>
      </c>
      <c r="AC1" t="s">
        <v>209</v>
      </c>
      <c r="AD1" t="s">
        <v>210</v>
      </c>
    </row>
    <row r="2" spans="1:30">
      <c r="A2" t="s">
        <v>114</v>
      </c>
    </row>
    <row r="3" spans="1:30">
      <c r="A3" t="s">
        <v>104</v>
      </c>
      <c r="D3" t="s">
        <v>114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  <c r="T3" t="s">
        <v>114</v>
      </c>
      <c r="U3" t="s">
        <v>104</v>
      </c>
      <c r="V3" t="s">
        <v>107</v>
      </c>
      <c r="W3" t="s">
        <v>108</v>
      </c>
      <c r="X3" t="s">
        <v>109</v>
      </c>
      <c r="AC3" t="s">
        <v>114</v>
      </c>
      <c r="AD3" t="s">
        <v>109</v>
      </c>
    </row>
    <row r="4" spans="1:30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  <c r="T4">
        <v>4</v>
      </c>
      <c r="U4">
        <v>0</v>
      </c>
      <c r="V4">
        <v>0</v>
      </c>
      <c r="W4">
        <v>0</v>
      </c>
      <c r="X4">
        <v>3</v>
      </c>
      <c r="AC4">
        <v>1100000000000</v>
      </c>
      <c r="AD4">
        <v>-1.1000000000000001</v>
      </c>
    </row>
    <row r="5" spans="1:30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  <c r="T5">
        <v>1100000000000</v>
      </c>
      <c r="X5">
        <v>-1.1000000000000001</v>
      </c>
      <c r="AC5">
        <v>1200000000000</v>
      </c>
      <c r="AD5">
        <v>-1.1000000000000001</v>
      </c>
    </row>
    <row r="6" spans="1:30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119</v>
      </c>
      <c r="T6">
        <v>1200000000000</v>
      </c>
      <c r="X6">
        <v>-1.2</v>
      </c>
      <c r="AC6">
        <v>1300000000000</v>
      </c>
      <c r="AD6">
        <v>-1.1000000000000001</v>
      </c>
    </row>
    <row r="7" spans="1:30">
      <c r="A7" t="s">
        <v>109</v>
      </c>
      <c r="D7">
        <v>1400000000000</v>
      </c>
      <c r="N7" t="s">
        <v>85</v>
      </c>
      <c r="O7" t="s">
        <v>120</v>
      </c>
      <c r="T7">
        <v>1300000000000</v>
      </c>
      <c r="X7">
        <v>-1.3</v>
      </c>
      <c r="AC7">
        <v>1400000000000</v>
      </c>
      <c r="AD7">
        <v>-1.1000000000000001</v>
      </c>
    </row>
    <row r="8" spans="1:30">
      <c r="T8">
        <v>1400000000000</v>
      </c>
      <c r="AC8">
        <v>1100000000000</v>
      </c>
      <c r="AD8">
        <v>-1.2</v>
      </c>
    </row>
    <row r="9" spans="1:30">
      <c r="AC9">
        <v>1200000000000</v>
      </c>
      <c r="AD9">
        <v>-1.2</v>
      </c>
    </row>
    <row r="10" spans="1:30">
      <c r="A10" t="s">
        <v>216</v>
      </c>
      <c r="AC10">
        <v>1300000000000</v>
      </c>
      <c r="AD10">
        <v>-1.2</v>
      </c>
    </row>
    <row r="11" spans="1:30">
      <c r="A11">
        <v>3</v>
      </c>
      <c r="AC11">
        <v>1400000000000</v>
      </c>
      <c r="AD11">
        <v>-1.2</v>
      </c>
    </row>
    <row r="12" spans="1:30">
      <c r="AC12">
        <v>1100000000000</v>
      </c>
      <c r="AD12">
        <v>-1.3</v>
      </c>
    </row>
    <row r="13" spans="1:30">
      <c r="AC13">
        <v>1200000000000</v>
      </c>
      <c r="AD13">
        <v>-1.3</v>
      </c>
    </row>
    <row r="14" spans="1:30">
      <c r="AC14">
        <v>1300000000000</v>
      </c>
      <c r="AD14">
        <v>-1.3</v>
      </c>
    </row>
    <row r="15" spans="1:30">
      <c r="AC15">
        <v>1400000000000</v>
      </c>
      <c r="AD15">
        <v>-1.3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E34"/>
  <sheetViews>
    <sheetView zoomScale="70" zoomScaleNormal="70" workbookViewId="0">
      <selection activeCell="E1" sqref="E1:P16"/>
    </sheetView>
  </sheetViews>
  <sheetFormatPr defaultRowHeight="18.75"/>
  <sheetData>
    <row r="1" spans="1:19">
      <c r="B1" t="s">
        <v>124</v>
      </c>
      <c r="C1" t="s">
        <v>124</v>
      </c>
      <c r="D1" t="s">
        <v>125</v>
      </c>
      <c r="E1" s="5" t="s">
        <v>27</v>
      </c>
      <c r="F1" t="s">
        <v>185</v>
      </c>
      <c r="G1" t="s">
        <v>184</v>
      </c>
      <c r="H1" t="s">
        <v>183</v>
      </c>
      <c r="I1" t="s">
        <v>211</v>
      </c>
      <c r="L1" t="s">
        <v>212</v>
      </c>
    </row>
    <row r="2" spans="1:19">
      <c r="A2" s="2" t="s">
        <v>12</v>
      </c>
      <c r="B2" s="2" t="s">
        <v>103</v>
      </c>
      <c r="C2" s="2" t="s">
        <v>109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2" t="s">
        <v>122</v>
      </c>
      <c r="B3" s="33" t="s">
        <v>115</v>
      </c>
      <c r="C3" s="2" t="s">
        <v>115</v>
      </c>
      <c r="D3" s="33" t="s">
        <v>115</v>
      </c>
      <c r="E3" s="5" t="s">
        <v>21</v>
      </c>
      <c r="F3" t="s">
        <v>69</v>
      </c>
      <c r="G3" t="s">
        <v>7</v>
      </c>
      <c r="H3" s="21" t="s">
        <v>5</v>
      </c>
      <c r="I3" t="s">
        <v>83</v>
      </c>
      <c r="L3" t="s">
        <v>126</v>
      </c>
      <c r="M3" t="s">
        <v>124</v>
      </c>
      <c r="N3" t="s">
        <v>124</v>
      </c>
      <c r="O3" t="s">
        <v>125</v>
      </c>
      <c r="P3" t="s">
        <v>186</v>
      </c>
      <c r="Q3" t="s">
        <v>187</v>
      </c>
      <c r="R3" t="s">
        <v>188</v>
      </c>
      <c r="S3" t="s">
        <v>189</v>
      </c>
    </row>
    <row r="4" spans="1:19">
      <c r="A4" s="2" t="s">
        <v>123</v>
      </c>
      <c r="B4" s="33" t="s">
        <v>115</v>
      </c>
      <c r="C4" s="2" t="s">
        <v>115</v>
      </c>
      <c r="D4" s="33" t="s">
        <v>115</v>
      </c>
      <c r="E4" s="5" t="s">
        <v>28</v>
      </c>
      <c r="F4" t="s">
        <v>33</v>
      </c>
      <c r="G4" t="s">
        <v>79</v>
      </c>
      <c r="H4" t="s">
        <v>33</v>
      </c>
      <c r="I4" t="s">
        <v>120</v>
      </c>
      <c r="L4" t="s">
        <v>127</v>
      </c>
      <c r="M4" t="s">
        <v>114</v>
      </c>
      <c r="N4" t="s">
        <v>109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s="2" t="s">
        <v>149</v>
      </c>
      <c r="B5" s="1">
        <v>1100000000000</v>
      </c>
      <c r="C5" s="2">
        <v>-1.1000000000000001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-1.1000000000000001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150</v>
      </c>
      <c r="B6" s="1">
        <v>1100000000000</v>
      </c>
      <c r="C6" s="2">
        <v>-1.1000000000000001</v>
      </c>
      <c r="D6" s="22">
        <v>5300000000000</v>
      </c>
      <c r="E6" t="s">
        <v>16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16</v>
      </c>
      <c r="M6">
        <v>1100000000000</v>
      </c>
      <c r="N6">
        <v>-1.1000000000000001</v>
      </c>
      <c r="O6">
        <v>5300000000000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151</v>
      </c>
      <c r="B7" s="1">
        <v>1100000000000</v>
      </c>
      <c r="C7" s="17">
        <v>-1.2</v>
      </c>
      <c r="D7" s="27">
        <v>5400000000000</v>
      </c>
      <c r="E7" t="s">
        <v>17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17</v>
      </c>
      <c r="M7">
        <v>1100000000000</v>
      </c>
      <c r="N7">
        <v>-1.2</v>
      </c>
      <c r="O7">
        <v>5400000000000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152</v>
      </c>
      <c r="B8" s="4">
        <v>1200000000000</v>
      </c>
      <c r="C8" s="17">
        <v>-1.2</v>
      </c>
      <c r="D8" s="1">
        <v>5200000000000</v>
      </c>
      <c r="E8" t="s">
        <v>18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18</v>
      </c>
      <c r="M8">
        <v>1200000000000</v>
      </c>
      <c r="N8">
        <v>-1.2</v>
      </c>
      <c r="O8">
        <v>5200000000000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153</v>
      </c>
      <c r="B9" s="4">
        <v>1200000000000</v>
      </c>
      <c r="C9" s="17">
        <v>-1.2</v>
      </c>
      <c r="D9" s="22">
        <v>5300000000000</v>
      </c>
      <c r="E9" t="s">
        <v>19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19</v>
      </c>
      <c r="M9">
        <v>1200000000000</v>
      </c>
      <c r="N9">
        <v>-1.2</v>
      </c>
      <c r="O9">
        <v>5300000000000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154</v>
      </c>
      <c r="B10" s="4">
        <v>1200000000000</v>
      </c>
      <c r="C10" s="17">
        <v>-1.2</v>
      </c>
      <c r="D10" s="27">
        <v>5400000000000</v>
      </c>
      <c r="E10" t="s">
        <v>20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20</v>
      </c>
      <c r="M10">
        <v>1200000000000</v>
      </c>
      <c r="N10">
        <v>-1.2</v>
      </c>
      <c r="O10">
        <v>5400000000000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155</v>
      </c>
      <c r="B11" s="4">
        <v>1200000000000</v>
      </c>
      <c r="C11" s="18">
        <v>-1.3</v>
      </c>
      <c r="D11" s="23">
        <v>5400000000000</v>
      </c>
      <c r="E11" t="s">
        <v>86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86</v>
      </c>
      <c r="M11">
        <v>1200000000000</v>
      </c>
      <c r="N11">
        <v>-1.3</v>
      </c>
      <c r="O11">
        <v>5400000000000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156</v>
      </c>
      <c r="B12" s="4">
        <v>1300000000000</v>
      </c>
      <c r="C12" s="18">
        <v>-1.3</v>
      </c>
      <c r="D12" s="1">
        <v>5200000000000</v>
      </c>
      <c r="E12" t="s">
        <v>87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87</v>
      </c>
      <c r="M12">
        <v>1300000000000</v>
      </c>
      <c r="N12">
        <v>-1.3</v>
      </c>
      <c r="O12">
        <v>5200000000000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157</v>
      </c>
      <c r="B13" s="4">
        <v>1300000000000</v>
      </c>
      <c r="C13" s="18">
        <v>-1.3</v>
      </c>
      <c r="D13" s="22">
        <v>5300000000000</v>
      </c>
      <c r="E13" t="s">
        <v>93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93</v>
      </c>
      <c r="M13">
        <v>1300000000000</v>
      </c>
      <c r="N13">
        <v>-1.3</v>
      </c>
      <c r="O13">
        <v>5300000000000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158</v>
      </c>
      <c r="B14" s="4">
        <v>1300000000000</v>
      </c>
      <c r="C14" s="18">
        <v>-1.3</v>
      </c>
      <c r="D14" s="27">
        <v>5400000000000</v>
      </c>
      <c r="E14" t="s">
        <v>94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94</v>
      </c>
      <c r="M14">
        <v>1300000000000</v>
      </c>
      <c r="N14">
        <v>-1.3</v>
      </c>
      <c r="O14">
        <v>5400000000000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159</v>
      </c>
      <c r="B15" s="4">
        <v>1300000000000</v>
      </c>
      <c r="C15" s="18">
        <v>-1.3</v>
      </c>
      <c r="D15" s="1">
        <v>5200000000000</v>
      </c>
      <c r="E15" t="s">
        <v>95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95</v>
      </c>
      <c r="M15">
        <v>1300000000000</v>
      </c>
      <c r="N15">
        <v>-1.3</v>
      </c>
      <c r="O15">
        <v>5200000000000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160</v>
      </c>
      <c r="B16" s="4">
        <v>1400000000000</v>
      </c>
      <c r="C16" s="18">
        <v>-1.3</v>
      </c>
      <c r="D16" s="22">
        <v>5300000000000</v>
      </c>
      <c r="E16" t="s">
        <v>96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96</v>
      </c>
      <c r="M16">
        <v>1400000000000</v>
      </c>
      <c r="N16">
        <v>-1.3</v>
      </c>
      <c r="O16">
        <v>5300000000000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31">
      <c r="L21" t="s">
        <v>126</v>
      </c>
      <c r="M21" t="s">
        <v>124</v>
      </c>
      <c r="N21" t="s">
        <v>124</v>
      </c>
      <c r="O21" t="s">
        <v>125</v>
      </c>
      <c r="P21" t="s">
        <v>186</v>
      </c>
      <c r="Q21" t="s">
        <v>187</v>
      </c>
      <c r="R21" t="s">
        <v>188</v>
      </c>
      <c r="S21" t="s">
        <v>189</v>
      </c>
      <c r="T21" t="s">
        <v>128</v>
      </c>
      <c r="U21" t="s">
        <v>128</v>
      </c>
      <c r="V21" t="s">
        <v>128</v>
      </c>
      <c r="W21" t="s">
        <v>128</v>
      </c>
      <c r="X21" t="s">
        <v>128</v>
      </c>
      <c r="Y21" t="s">
        <v>128</v>
      </c>
      <c r="Z21" t="s">
        <v>128</v>
      </c>
      <c r="AA21" t="s">
        <v>128</v>
      </c>
      <c r="AB21" t="s">
        <v>128</v>
      </c>
      <c r="AC21" t="s">
        <v>128</v>
      </c>
      <c r="AD21" t="s">
        <v>128</v>
      </c>
      <c r="AE21" t="s">
        <v>128</v>
      </c>
    </row>
    <row r="22" spans="12:31">
      <c r="L22" t="s">
        <v>127</v>
      </c>
      <c r="M22" t="s">
        <v>114</v>
      </c>
      <c r="N22" t="s">
        <v>109</v>
      </c>
      <c r="O22" t="s">
        <v>106</v>
      </c>
      <c r="P22" t="s">
        <v>68</v>
      </c>
      <c r="Q22" t="s">
        <v>74</v>
      </c>
      <c r="R22" t="s">
        <v>84</v>
      </c>
      <c r="S22" t="s">
        <v>85</v>
      </c>
      <c r="T22" t="s">
        <v>199</v>
      </c>
      <c r="U22" t="s">
        <v>200</v>
      </c>
      <c r="V22" t="s">
        <v>201</v>
      </c>
      <c r="W22" t="s">
        <v>213</v>
      </c>
      <c r="X22" t="s">
        <v>202</v>
      </c>
      <c r="Y22" t="s">
        <v>203</v>
      </c>
      <c r="Z22" t="s">
        <v>204</v>
      </c>
      <c r="AA22" t="s">
        <v>214</v>
      </c>
      <c r="AB22" t="s">
        <v>205</v>
      </c>
      <c r="AC22" t="s">
        <v>206</v>
      </c>
      <c r="AD22" t="s">
        <v>207</v>
      </c>
      <c r="AE22" t="s">
        <v>215</v>
      </c>
    </row>
    <row r="23" spans="12:31">
      <c r="L23" t="s">
        <v>15</v>
      </c>
      <c r="M23">
        <v>1100000000000</v>
      </c>
      <c r="N23">
        <v>-1.1000000000000001</v>
      </c>
      <c r="O23">
        <v>5200000000000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2:31">
      <c r="L24" t="s">
        <v>16</v>
      </c>
      <c r="M24">
        <v>1100000000000</v>
      </c>
      <c r="N24">
        <v>-1.1000000000000001</v>
      </c>
      <c r="O24">
        <v>5300000000000</v>
      </c>
      <c r="P24">
        <v>0.65100000000000002</v>
      </c>
      <c r="Q24">
        <v>2.23</v>
      </c>
      <c r="R24">
        <v>2.31</v>
      </c>
      <c r="S24">
        <v>0.40100000000000002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2:31">
      <c r="L25" t="s">
        <v>17</v>
      </c>
      <c r="M25">
        <v>1100000000000</v>
      </c>
      <c r="N25">
        <v>-1.2</v>
      </c>
      <c r="O25">
        <v>5400000000000</v>
      </c>
      <c r="P25">
        <v>0.65300000000000002</v>
      </c>
      <c r="Q25">
        <v>2.13</v>
      </c>
      <c r="R25">
        <v>2.33</v>
      </c>
      <c r="S25">
        <v>0.39800000000000002</v>
      </c>
      <c r="T25">
        <v>0</v>
      </c>
      <c r="U25">
        <v>0</v>
      </c>
      <c r="V25">
        <v>0</v>
      </c>
      <c r="W25">
        <v>0</v>
      </c>
      <c r="X25">
        <v>1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2:31">
      <c r="L26" t="s">
        <v>18</v>
      </c>
      <c r="M26">
        <v>1200000000000</v>
      </c>
      <c r="N26">
        <v>-1.2</v>
      </c>
      <c r="O26">
        <v>5200000000000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2:31">
      <c r="L27" t="s">
        <v>19</v>
      </c>
      <c r="M27">
        <v>1200000000000</v>
      </c>
      <c r="N27">
        <v>-1.2</v>
      </c>
      <c r="O27">
        <v>5300000000000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2:31">
      <c r="L28" t="s">
        <v>20</v>
      </c>
      <c r="M28">
        <v>1200000000000</v>
      </c>
      <c r="N28">
        <v>-1.2</v>
      </c>
      <c r="O28">
        <v>5400000000000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2:31">
      <c r="L29" t="s">
        <v>86</v>
      </c>
      <c r="M29">
        <v>1200000000000</v>
      </c>
      <c r="N29">
        <v>-1.3</v>
      </c>
      <c r="O29">
        <v>5400000000000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0</v>
      </c>
      <c r="AE29">
        <v>0</v>
      </c>
    </row>
    <row r="30" spans="12:31">
      <c r="L30" t="s">
        <v>87</v>
      </c>
      <c r="M30">
        <v>1300000000000</v>
      </c>
      <c r="N30">
        <v>-1.3</v>
      </c>
      <c r="O30">
        <v>5200000000000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</row>
    <row r="31" spans="12:31">
      <c r="L31" t="s">
        <v>93</v>
      </c>
      <c r="M31">
        <v>1300000000000</v>
      </c>
      <c r="N31">
        <v>-1.3</v>
      </c>
      <c r="O31">
        <v>5300000000000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</row>
    <row r="32" spans="12:31">
      <c r="L32" t="s">
        <v>94</v>
      </c>
      <c r="M32">
        <v>1300000000000</v>
      </c>
      <c r="N32">
        <v>-1.3</v>
      </c>
      <c r="O32">
        <v>5400000000000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</row>
    <row r="33" spans="12:31">
      <c r="L33" t="s">
        <v>95</v>
      </c>
      <c r="M33">
        <v>1300000000000</v>
      </c>
      <c r="N33">
        <v>-1.3</v>
      </c>
      <c r="O33">
        <v>5200000000000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0</v>
      </c>
    </row>
    <row r="34" spans="12:31">
      <c r="L34" t="s">
        <v>96</v>
      </c>
      <c r="M34">
        <v>1400000000000</v>
      </c>
      <c r="N34">
        <v>-1.3</v>
      </c>
      <c r="O34">
        <v>5300000000000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1708D-550E-44C9-B5D9-082869764982}">
  <sheetPr codeName="Sheet9">
    <tabColor theme="9"/>
  </sheetPr>
  <dimension ref="A6:M76"/>
  <sheetViews>
    <sheetView topLeftCell="A10"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136</v>
      </c>
    </row>
    <row r="7" spans="1:13">
      <c r="B7" t="s">
        <v>137</v>
      </c>
      <c r="C7" t="s">
        <v>137</v>
      </c>
      <c r="D7" t="s">
        <v>137</v>
      </c>
      <c r="F7" t="s">
        <v>138</v>
      </c>
      <c r="G7" t="s">
        <v>138</v>
      </c>
      <c r="H7" t="s">
        <v>139</v>
      </c>
      <c r="I7" t="s">
        <v>139</v>
      </c>
      <c r="J7" t="s">
        <v>139</v>
      </c>
      <c r="K7" t="s">
        <v>139</v>
      </c>
      <c r="L7" t="s">
        <v>139</v>
      </c>
      <c r="M7" t="s">
        <v>138</v>
      </c>
    </row>
    <row r="8" spans="1:13">
      <c r="F8" t="s">
        <v>140</v>
      </c>
      <c r="G8" t="s">
        <v>141</v>
      </c>
      <c r="H8" t="s">
        <v>142</v>
      </c>
      <c r="I8" t="s">
        <v>140</v>
      </c>
      <c r="J8" t="s">
        <v>143</v>
      </c>
      <c r="K8" t="s">
        <v>144</v>
      </c>
      <c r="L8" t="s">
        <v>145</v>
      </c>
      <c r="M8" t="s">
        <v>146</v>
      </c>
    </row>
    <row r="9" spans="1:13">
      <c r="A9" t="s">
        <v>137</v>
      </c>
      <c r="F9" t="s">
        <v>147</v>
      </c>
      <c r="G9" t="s">
        <v>147</v>
      </c>
      <c r="H9" t="s">
        <v>147</v>
      </c>
      <c r="I9" t="s">
        <v>148</v>
      </c>
      <c r="J9" t="s">
        <v>147</v>
      </c>
      <c r="K9" t="s">
        <v>148</v>
      </c>
      <c r="L9" t="s">
        <v>147</v>
      </c>
      <c r="M9" t="s">
        <v>147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149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150</v>
      </c>
      <c r="F12" s="1">
        <v>1100000000000</v>
      </c>
      <c r="G12" s="1">
        <v>200000000000</v>
      </c>
      <c r="H12" s="2">
        <v>1</v>
      </c>
      <c r="I12" s="22">
        <v>5300000000000</v>
      </c>
      <c r="J12" s="19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151</v>
      </c>
      <c r="F13" s="1">
        <v>1100000000000</v>
      </c>
      <c r="G13" s="1">
        <v>200000000000</v>
      </c>
      <c r="H13" s="2">
        <v>1</v>
      </c>
      <c r="I13" s="27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152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4">
        <v>330000000000</v>
      </c>
      <c r="L14" s="17">
        <v>-1.2</v>
      </c>
      <c r="M14" s="2">
        <v>2</v>
      </c>
    </row>
    <row r="15" spans="1:13">
      <c r="E15" s="2" t="s">
        <v>153</v>
      </c>
      <c r="F15" s="4">
        <v>1200000000000</v>
      </c>
      <c r="G15" s="1">
        <v>200000000000</v>
      </c>
      <c r="H15" s="2">
        <v>1</v>
      </c>
      <c r="I15" s="22">
        <v>5300000000000</v>
      </c>
      <c r="J15" s="19">
        <v>2</v>
      </c>
      <c r="K15" s="24">
        <v>330000000000</v>
      </c>
      <c r="L15" s="17">
        <v>-1.2</v>
      </c>
      <c r="M15" s="2">
        <v>2</v>
      </c>
    </row>
    <row r="16" spans="1:13">
      <c r="E16" s="2" t="s">
        <v>154</v>
      </c>
      <c r="F16" s="4">
        <v>1200000000000</v>
      </c>
      <c r="G16" s="1">
        <v>200000000000</v>
      </c>
      <c r="H16" s="2">
        <v>1</v>
      </c>
      <c r="I16" s="27">
        <v>5400000000000</v>
      </c>
      <c r="J16" s="20">
        <v>3</v>
      </c>
      <c r="K16" s="24">
        <v>330000000000</v>
      </c>
      <c r="L16" s="17">
        <v>-1.2</v>
      </c>
      <c r="M16" s="2">
        <v>2</v>
      </c>
    </row>
    <row r="17" spans="1:13">
      <c r="E17" s="2" t="s">
        <v>155</v>
      </c>
      <c r="F17" s="4">
        <v>1200000000000</v>
      </c>
      <c r="G17" s="1">
        <v>200000000000</v>
      </c>
      <c r="H17" s="2">
        <v>1</v>
      </c>
      <c r="I17" s="23">
        <v>5400000000000</v>
      </c>
      <c r="J17" s="2">
        <v>1</v>
      </c>
      <c r="K17" s="24">
        <v>330000000000</v>
      </c>
      <c r="L17" s="18">
        <v>-1.3</v>
      </c>
      <c r="M17" s="2">
        <v>2</v>
      </c>
    </row>
    <row r="18" spans="1:13">
      <c r="E18" s="2" t="s">
        <v>156</v>
      </c>
      <c r="F18" s="4">
        <v>1300000000000</v>
      </c>
      <c r="G18" s="25">
        <v>300000000000</v>
      </c>
      <c r="H18" s="2">
        <v>1</v>
      </c>
      <c r="I18" s="1">
        <v>5200000000000</v>
      </c>
      <c r="J18" s="19">
        <v>2</v>
      </c>
      <c r="K18" s="24">
        <v>330000000000</v>
      </c>
      <c r="L18" s="18">
        <v>-1.3</v>
      </c>
      <c r="M18" s="2">
        <v>2</v>
      </c>
    </row>
    <row r="19" spans="1:13">
      <c r="E19" s="2" t="s">
        <v>157</v>
      </c>
      <c r="F19" s="4">
        <v>1300000000000</v>
      </c>
      <c r="G19" s="25">
        <v>300000000000</v>
      </c>
      <c r="H19" s="2">
        <v>1</v>
      </c>
      <c r="I19" s="22">
        <v>5300000000000</v>
      </c>
      <c r="J19" s="20">
        <v>3</v>
      </c>
      <c r="K19" s="24">
        <v>330000000000</v>
      </c>
      <c r="L19" s="18">
        <v>-1.3</v>
      </c>
      <c r="M19" s="2">
        <v>2</v>
      </c>
    </row>
    <row r="20" spans="1:13">
      <c r="E20" s="2" t="s">
        <v>158</v>
      </c>
      <c r="F20" s="4">
        <v>1300000000000</v>
      </c>
      <c r="G20" s="25">
        <v>300000000000</v>
      </c>
      <c r="H20" s="2">
        <v>1</v>
      </c>
      <c r="I20" s="27">
        <v>5400000000000</v>
      </c>
      <c r="J20" s="2">
        <v>1</v>
      </c>
      <c r="K20" s="24">
        <v>330000000000</v>
      </c>
      <c r="L20" s="18">
        <v>-1.3</v>
      </c>
      <c r="M20" s="2">
        <v>2</v>
      </c>
    </row>
    <row r="21" spans="1:13">
      <c r="E21" s="2" t="s">
        <v>159</v>
      </c>
      <c r="F21" s="4">
        <v>1300000000000</v>
      </c>
      <c r="G21" s="25">
        <v>300000000000</v>
      </c>
      <c r="H21" s="2">
        <v>1</v>
      </c>
      <c r="I21" s="1">
        <v>5200000000000</v>
      </c>
      <c r="J21" s="19">
        <v>2</v>
      </c>
      <c r="K21" s="26">
        <v>360000000000</v>
      </c>
      <c r="L21" s="18">
        <v>-1.3</v>
      </c>
      <c r="M21" s="2">
        <v>2</v>
      </c>
    </row>
    <row r="22" spans="1:13">
      <c r="E22" s="2" t="s">
        <v>160</v>
      </c>
      <c r="F22" s="4">
        <v>1400000000000</v>
      </c>
      <c r="G22" s="25">
        <v>300000000000</v>
      </c>
      <c r="H22" s="2">
        <v>1</v>
      </c>
      <c r="I22" s="22">
        <v>5300000000000</v>
      </c>
      <c r="J22" s="20">
        <v>3</v>
      </c>
      <c r="K22" s="26">
        <v>360000000000</v>
      </c>
      <c r="L22" s="18">
        <v>-1.3</v>
      </c>
      <c r="M22" s="2">
        <v>2</v>
      </c>
    </row>
    <row r="25" spans="1:13">
      <c r="E25" t="s">
        <v>194</v>
      </c>
    </row>
    <row r="26" spans="1:13">
      <c r="B26" t="s">
        <v>137</v>
      </c>
      <c r="C26" t="s">
        <v>137</v>
      </c>
      <c r="D26" t="s">
        <v>137</v>
      </c>
      <c r="F26" t="s">
        <v>138</v>
      </c>
      <c r="G26" t="s">
        <v>138</v>
      </c>
      <c r="H26" t="s">
        <v>139</v>
      </c>
      <c r="I26" t="s">
        <v>139</v>
      </c>
      <c r="J26" t="s">
        <v>139</v>
      </c>
      <c r="K26" t="s">
        <v>139</v>
      </c>
      <c r="L26" t="s">
        <v>139</v>
      </c>
      <c r="M26" t="s">
        <v>138</v>
      </c>
    </row>
    <row r="27" spans="1:13">
      <c r="F27" t="s">
        <v>140</v>
      </c>
      <c r="G27" t="s">
        <v>141</v>
      </c>
      <c r="H27" t="s">
        <v>142</v>
      </c>
      <c r="I27" t="s">
        <v>140</v>
      </c>
      <c r="J27" t="s">
        <v>143</v>
      </c>
      <c r="K27" t="s">
        <v>144</v>
      </c>
      <c r="L27" t="s">
        <v>145</v>
      </c>
      <c r="M27" t="s">
        <v>146</v>
      </c>
    </row>
    <row r="28" spans="1:13">
      <c r="A28" t="s">
        <v>137</v>
      </c>
      <c r="F28" t="s">
        <v>147</v>
      </c>
      <c r="G28" t="s">
        <v>147</v>
      </c>
      <c r="H28" t="s">
        <v>147</v>
      </c>
      <c r="I28" t="s">
        <v>148</v>
      </c>
      <c r="J28" t="s">
        <v>147</v>
      </c>
      <c r="K28" t="s">
        <v>148</v>
      </c>
      <c r="L28" t="s">
        <v>147</v>
      </c>
      <c r="M28" t="s">
        <v>147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18" t="s">
        <v>113</v>
      </c>
      <c r="F30" s="1">
        <v>1100000000000</v>
      </c>
      <c r="G30" s="1">
        <v>200000000000</v>
      </c>
      <c r="H30" s="34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34">
        <v>20</v>
      </c>
    </row>
    <row r="31" spans="1:13">
      <c r="E31" s="18" t="s">
        <v>16</v>
      </c>
      <c r="F31" s="1">
        <v>1100000000000</v>
      </c>
      <c r="G31" s="1">
        <v>200000000000</v>
      </c>
      <c r="H31" s="34">
        <v>10</v>
      </c>
      <c r="I31" s="22">
        <v>5300000000000</v>
      </c>
      <c r="J31" s="19">
        <v>2</v>
      </c>
      <c r="K31">
        <f t="shared" si="0"/>
        <v>311000000000</v>
      </c>
      <c r="L31" s="2">
        <v>-1.1000000000000001</v>
      </c>
      <c r="M31" s="34">
        <v>20</v>
      </c>
    </row>
    <row r="32" spans="1:13">
      <c r="E32" s="18" t="s">
        <v>17</v>
      </c>
      <c r="F32" s="1">
        <v>1100000000000</v>
      </c>
      <c r="G32" s="1">
        <v>200000000000</v>
      </c>
      <c r="H32" s="34">
        <v>10</v>
      </c>
      <c r="I32" s="27">
        <v>5400000000000</v>
      </c>
      <c r="J32">
        <v>3</v>
      </c>
      <c r="K32">
        <f t="shared" si="0"/>
        <v>311000000000</v>
      </c>
      <c r="L32" s="17">
        <v>-1.2</v>
      </c>
      <c r="M32" s="34">
        <v>20</v>
      </c>
    </row>
    <row r="33" spans="5:13">
      <c r="E33" s="2" t="s">
        <v>149</v>
      </c>
      <c r="F33" s="1">
        <v>1100000000000</v>
      </c>
      <c r="G33" s="1">
        <v>200000000000</v>
      </c>
      <c r="H33" s="34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34">
        <v>20</v>
      </c>
    </row>
    <row r="34" spans="5:13">
      <c r="E34" s="2" t="s">
        <v>150</v>
      </c>
      <c r="F34" s="1">
        <v>1100000000000</v>
      </c>
      <c r="G34" s="1">
        <v>200000000000</v>
      </c>
      <c r="H34" s="34">
        <v>10</v>
      </c>
      <c r="I34" s="22">
        <v>5300000000000</v>
      </c>
      <c r="J34" s="19">
        <v>2</v>
      </c>
      <c r="K34">
        <f t="shared" si="0"/>
        <v>311000000000</v>
      </c>
      <c r="L34" s="2">
        <v>-1.1000000000000001</v>
      </c>
      <c r="M34" s="34">
        <v>20</v>
      </c>
    </row>
    <row r="35" spans="5:13">
      <c r="E35" s="2" t="s">
        <v>151</v>
      </c>
      <c r="F35" s="1">
        <v>1100000000000</v>
      </c>
      <c r="G35" s="1">
        <v>200000000000</v>
      </c>
      <c r="H35" s="34">
        <v>10</v>
      </c>
      <c r="I35" s="27">
        <v>5400000000000</v>
      </c>
      <c r="J35">
        <v>3</v>
      </c>
      <c r="K35">
        <f t="shared" si="0"/>
        <v>311000000000</v>
      </c>
      <c r="L35" s="17">
        <v>-1.2</v>
      </c>
      <c r="M35" s="34">
        <v>20</v>
      </c>
    </row>
    <row r="36" spans="5:13">
      <c r="E36" s="2" t="s">
        <v>152</v>
      </c>
      <c r="F36" s="4">
        <v>1200000000000</v>
      </c>
      <c r="G36" s="1">
        <v>200000000000</v>
      </c>
      <c r="H36" s="34">
        <v>10</v>
      </c>
      <c r="I36" s="1">
        <v>5200000000000</v>
      </c>
      <c r="J36" s="2">
        <v>1</v>
      </c>
      <c r="K36" s="24">
        <v>330000000000</v>
      </c>
      <c r="L36" s="17">
        <v>-1.2</v>
      </c>
      <c r="M36" s="34">
        <v>20</v>
      </c>
    </row>
    <row r="37" spans="5:13">
      <c r="E37" s="2" t="s">
        <v>153</v>
      </c>
      <c r="F37" s="4">
        <v>1200000000000</v>
      </c>
      <c r="G37" s="1">
        <v>200000000000</v>
      </c>
      <c r="H37" s="34">
        <v>10</v>
      </c>
      <c r="I37" s="22">
        <v>5300000000000</v>
      </c>
      <c r="J37" s="19">
        <v>2</v>
      </c>
      <c r="K37" s="24">
        <v>330000000000</v>
      </c>
      <c r="L37" s="17">
        <v>-1.2</v>
      </c>
      <c r="M37" s="34">
        <v>20</v>
      </c>
    </row>
    <row r="38" spans="5:13">
      <c r="E38" s="2" t="s">
        <v>154</v>
      </c>
      <c r="F38" s="4">
        <v>1200000000000</v>
      </c>
      <c r="G38" s="1">
        <v>200000000000</v>
      </c>
      <c r="H38" s="34">
        <v>10</v>
      </c>
      <c r="I38" s="27">
        <v>5400000000000</v>
      </c>
      <c r="J38" s="20">
        <v>3</v>
      </c>
      <c r="K38" s="24">
        <v>330000000000</v>
      </c>
      <c r="L38" s="17">
        <v>-1.2</v>
      </c>
      <c r="M38" s="34">
        <v>20</v>
      </c>
    </row>
    <row r="39" spans="5:13">
      <c r="E39" s="2" t="s">
        <v>155</v>
      </c>
      <c r="F39" s="4">
        <v>1200000000000</v>
      </c>
      <c r="G39" s="1">
        <v>200000000000</v>
      </c>
      <c r="H39" s="34">
        <v>10</v>
      </c>
      <c r="I39" s="23">
        <v>5400000000000</v>
      </c>
      <c r="J39" s="2">
        <v>1</v>
      </c>
      <c r="K39" s="24">
        <v>330000000000</v>
      </c>
      <c r="L39" s="18">
        <v>-1.3</v>
      </c>
      <c r="M39" s="34">
        <v>20</v>
      </c>
    </row>
    <row r="40" spans="5:13">
      <c r="E40" s="2" t="s">
        <v>156</v>
      </c>
      <c r="F40" s="4">
        <v>1300000000000</v>
      </c>
      <c r="G40" s="25">
        <v>300000000000</v>
      </c>
      <c r="H40" s="34">
        <v>10</v>
      </c>
      <c r="I40" s="1">
        <v>5200000000000</v>
      </c>
      <c r="J40" s="19">
        <v>2</v>
      </c>
      <c r="K40" s="24">
        <v>330000000000</v>
      </c>
      <c r="L40" s="18">
        <v>-1.3</v>
      </c>
      <c r="M40" s="34">
        <v>20</v>
      </c>
    </row>
    <row r="41" spans="5:13">
      <c r="E41" s="2" t="s">
        <v>157</v>
      </c>
      <c r="F41" s="4">
        <v>1300000000000</v>
      </c>
      <c r="G41" s="25">
        <v>300000000000</v>
      </c>
      <c r="H41" s="34">
        <v>10</v>
      </c>
      <c r="I41" s="22">
        <v>5300000000000</v>
      </c>
      <c r="J41" s="20">
        <v>3</v>
      </c>
      <c r="K41" s="24">
        <v>330000000000</v>
      </c>
      <c r="L41" s="18">
        <v>-1.3</v>
      </c>
      <c r="M41" s="34">
        <v>20</v>
      </c>
    </row>
    <row r="42" spans="5:13">
      <c r="E42" s="2" t="s">
        <v>158</v>
      </c>
      <c r="F42" s="4">
        <v>1300000000000</v>
      </c>
      <c r="G42" s="25">
        <v>300000000000</v>
      </c>
      <c r="H42" s="34">
        <v>10</v>
      </c>
      <c r="I42" s="27">
        <v>5400000000000</v>
      </c>
      <c r="J42" s="2">
        <v>1</v>
      </c>
      <c r="K42" s="24">
        <v>330000000000</v>
      </c>
      <c r="L42" s="18">
        <v>-1.3</v>
      </c>
      <c r="M42" s="34">
        <v>20</v>
      </c>
    </row>
    <row r="43" spans="5:13">
      <c r="E43" s="2" t="s">
        <v>159</v>
      </c>
      <c r="F43" s="4">
        <v>1300000000000</v>
      </c>
      <c r="G43" s="25">
        <v>300000000000</v>
      </c>
      <c r="H43" s="34">
        <v>10</v>
      </c>
      <c r="I43" s="1">
        <v>5200000000000</v>
      </c>
      <c r="J43" s="19">
        <v>2</v>
      </c>
      <c r="K43" s="26">
        <v>360000000000</v>
      </c>
      <c r="L43" s="18">
        <v>-1.3</v>
      </c>
      <c r="M43" s="34">
        <v>20</v>
      </c>
    </row>
    <row r="44" spans="5:13">
      <c r="E44" s="2" t="s">
        <v>160</v>
      </c>
      <c r="F44" s="4">
        <v>1400000000000</v>
      </c>
      <c r="G44" s="25">
        <v>300000000000</v>
      </c>
      <c r="H44" s="34">
        <v>10</v>
      </c>
      <c r="I44" s="22">
        <v>5300000000000</v>
      </c>
      <c r="J44" s="20">
        <v>3</v>
      </c>
      <c r="K44" s="26">
        <v>360000000000</v>
      </c>
      <c r="L44" s="18">
        <v>-1.3</v>
      </c>
      <c r="M44" s="34">
        <v>20</v>
      </c>
    </row>
    <row r="45" spans="5:13">
      <c r="E45" s="18" t="s">
        <v>161</v>
      </c>
      <c r="F45" s="1">
        <v>1100000000000</v>
      </c>
      <c r="G45" s="1">
        <v>200000000000</v>
      </c>
      <c r="H45" s="34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34">
        <v>20</v>
      </c>
    </row>
    <row r="46" spans="5:13">
      <c r="E46" s="18" t="s">
        <v>162</v>
      </c>
      <c r="F46" s="1">
        <v>1100000000000</v>
      </c>
      <c r="G46" s="1">
        <v>200000000000</v>
      </c>
      <c r="H46" s="34">
        <v>10</v>
      </c>
      <c r="I46" s="22">
        <v>5300000000000</v>
      </c>
      <c r="J46" s="19">
        <v>2</v>
      </c>
      <c r="K46">
        <f>311000000000</f>
        <v>311000000000</v>
      </c>
      <c r="L46" s="2">
        <v>-1.1000000000000001</v>
      </c>
      <c r="M46" s="34">
        <v>20</v>
      </c>
    </row>
    <row r="47" spans="5:13">
      <c r="E47" s="18" t="s">
        <v>163</v>
      </c>
      <c r="F47" s="1">
        <v>1100000000000</v>
      </c>
      <c r="G47" s="1">
        <v>200000000000</v>
      </c>
      <c r="H47" s="34">
        <v>10</v>
      </c>
      <c r="I47" s="27">
        <v>5400000000000</v>
      </c>
      <c r="J47">
        <v>3</v>
      </c>
      <c r="K47">
        <f>311000000000</f>
        <v>311000000000</v>
      </c>
      <c r="L47" s="17">
        <v>-1.2</v>
      </c>
      <c r="M47" s="34">
        <v>20</v>
      </c>
    </row>
    <row r="48" spans="5:13">
      <c r="E48" s="18" t="s">
        <v>164</v>
      </c>
      <c r="F48" s="4">
        <v>1200000000000</v>
      </c>
      <c r="G48" s="1">
        <v>200000000000</v>
      </c>
      <c r="H48" s="34">
        <v>10</v>
      </c>
      <c r="I48" s="1">
        <v>5200000000000</v>
      </c>
      <c r="J48" s="2">
        <v>1</v>
      </c>
      <c r="K48" s="24">
        <v>330000000000</v>
      </c>
      <c r="L48" s="17">
        <v>-1.2</v>
      </c>
      <c r="M48" s="34">
        <v>20</v>
      </c>
    </row>
    <row r="49" spans="5:13">
      <c r="E49" s="18" t="s">
        <v>165</v>
      </c>
      <c r="F49" s="4">
        <v>1200000000000</v>
      </c>
      <c r="G49" s="1">
        <v>200000000000</v>
      </c>
      <c r="H49" s="34">
        <v>10</v>
      </c>
      <c r="I49" s="22">
        <v>5300000000000</v>
      </c>
      <c r="J49" s="19">
        <v>2</v>
      </c>
      <c r="K49" s="24">
        <v>330000000000</v>
      </c>
      <c r="L49" s="17">
        <v>-1.2</v>
      </c>
      <c r="M49" s="34">
        <v>20</v>
      </c>
    </row>
    <row r="50" spans="5:13">
      <c r="E50" s="18" t="s">
        <v>166</v>
      </c>
      <c r="F50" s="4">
        <v>1200000000000</v>
      </c>
      <c r="G50" s="1">
        <v>200000000000</v>
      </c>
      <c r="H50" s="34">
        <v>10</v>
      </c>
      <c r="I50" s="27">
        <v>5400000000000</v>
      </c>
      <c r="J50" s="20">
        <v>3</v>
      </c>
      <c r="K50" s="24">
        <v>330000000000</v>
      </c>
      <c r="L50" s="17">
        <v>-1.2</v>
      </c>
      <c r="M50" s="34">
        <v>20</v>
      </c>
    </row>
    <row r="51" spans="5:13">
      <c r="E51" s="18" t="s">
        <v>167</v>
      </c>
      <c r="F51" s="4">
        <v>1200000000000</v>
      </c>
      <c r="G51" s="1">
        <v>200000000000</v>
      </c>
      <c r="H51" s="34">
        <v>10</v>
      </c>
      <c r="I51" s="23">
        <v>5400000000000</v>
      </c>
      <c r="J51" s="2">
        <v>1</v>
      </c>
      <c r="K51" s="24">
        <v>330000000000</v>
      </c>
      <c r="L51" s="18">
        <v>-1.3</v>
      </c>
      <c r="M51" s="34">
        <v>20</v>
      </c>
    </row>
    <row r="52" spans="5:13">
      <c r="E52" s="18" t="s">
        <v>168</v>
      </c>
      <c r="F52" s="4">
        <v>1300000000000</v>
      </c>
      <c r="G52" s="25">
        <v>300000000000</v>
      </c>
      <c r="H52" s="34">
        <v>10</v>
      </c>
      <c r="I52" s="1">
        <v>5200000000000</v>
      </c>
      <c r="J52" s="19">
        <v>2</v>
      </c>
      <c r="K52" s="24">
        <v>330000000000</v>
      </c>
      <c r="L52" s="18">
        <v>-1.3</v>
      </c>
      <c r="M52" s="34">
        <v>20</v>
      </c>
    </row>
    <row r="53" spans="5:13">
      <c r="E53" s="18" t="s">
        <v>169</v>
      </c>
      <c r="F53" s="4">
        <v>1300000000000</v>
      </c>
      <c r="G53" s="25">
        <v>300000000000</v>
      </c>
      <c r="H53" s="34">
        <v>10</v>
      </c>
      <c r="I53" s="22">
        <v>5300000000000</v>
      </c>
      <c r="J53" s="20">
        <v>3</v>
      </c>
      <c r="K53" s="24">
        <v>330000000000</v>
      </c>
      <c r="L53" s="18">
        <v>-1.3</v>
      </c>
      <c r="M53" s="34">
        <v>20</v>
      </c>
    </row>
    <row r="54" spans="5:13">
      <c r="E54" s="18" t="s">
        <v>170</v>
      </c>
      <c r="F54" s="4">
        <v>1300000000000</v>
      </c>
      <c r="G54" s="25">
        <v>300000000000</v>
      </c>
      <c r="H54" s="34">
        <v>10</v>
      </c>
      <c r="I54" s="27">
        <v>5400000000000</v>
      </c>
      <c r="J54" s="2">
        <v>1</v>
      </c>
      <c r="K54" s="24">
        <v>330000000000</v>
      </c>
      <c r="L54" s="18">
        <v>-1.3</v>
      </c>
      <c r="M54" s="34">
        <v>20</v>
      </c>
    </row>
    <row r="55" spans="5:13">
      <c r="E55" s="18" t="s">
        <v>171</v>
      </c>
      <c r="F55" s="4">
        <v>1300000000000</v>
      </c>
      <c r="G55" s="25">
        <v>300000000000</v>
      </c>
      <c r="H55" s="34">
        <v>10</v>
      </c>
      <c r="I55" s="1">
        <v>5200000000000</v>
      </c>
      <c r="J55" s="19">
        <v>2</v>
      </c>
      <c r="K55" s="26">
        <v>360000000000</v>
      </c>
      <c r="L55" s="18">
        <v>-1.3</v>
      </c>
      <c r="M55" s="34">
        <v>20</v>
      </c>
    </row>
    <row r="56" spans="5:13">
      <c r="E56" s="18" t="s">
        <v>172</v>
      </c>
      <c r="F56" s="4">
        <v>1400000000000</v>
      </c>
      <c r="G56" s="25">
        <v>300000000000</v>
      </c>
      <c r="H56" s="34">
        <v>10</v>
      </c>
      <c r="I56" s="22">
        <v>5300000000000</v>
      </c>
      <c r="J56" s="20">
        <v>3</v>
      </c>
      <c r="K56" s="26">
        <v>360000000000</v>
      </c>
      <c r="L56" s="18">
        <v>-1.3</v>
      </c>
      <c r="M56" s="34">
        <v>20</v>
      </c>
    </row>
    <row r="60" spans="5:13">
      <c r="E60" t="s">
        <v>195</v>
      </c>
    </row>
    <row r="61" spans="5:13">
      <c r="F61" t="s">
        <v>138</v>
      </c>
      <c r="G61" t="s">
        <v>138</v>
      </c>
      <c r="H61" t="s">
        <v>139</v>
      </c>
      <c r="I61" t="s">
        <v>139</v>
      </c>
      <c r="J61" t="s">
        <v>139</v>
      </c>
      <c r="K61" t="s">
        <v>139</v>
      </c>
      <c r="L61" t="s">
        <v>139</v>
      </c>
      <c r="M61" t="s">
        <v>138</v>
      </c>
    </row>
    <row r="62" spans="5:13">
      <c r="F62" t="s">
        <v>140</v>
      </c>
      <c r="G62" t="s">
        <v>141</v>
      </c>
      <c r="H62" t="s">
        <v>142</v>
      </c>
      <c r="I62" t="s">
        <v>140</v>
      </c>
      <c r="J62" t="s">
        <v>143</v>
      </c>
      <c r="K62" t="s">
        <v>144</v>
      </c>
      <c r="L62" t="s">
        <v>145</v>
      </c>
      <c r="M62" t="s">
        <v>146</v>
      </c>
    </row>
    <row r="63" spans="5:13">
      <c r="F63" t="s">
        <v>147</v>
      </c>
      <c r="G63" t="s">
        <v>147</v>
      </c>
      <c r="H63" t="s">
        <v>147</v>
      </c>
      <c r="I63" t="s">
        <v>148</v>
      </c>
      <c r="J63" t="s">
        <v>147</v>
      </c>
      <c r="K63" t="s">
        <v>148</v>
      </c>
      <c r="L63" t="s">
        <v>147</v>
      </c>
      <c r="M63" t="s">
        <v>147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113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2">
        <v>5300000000000</v>
      </c>
      <c r="J66" s="19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7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196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4">
        <v>330000000000</v>
      </c>
      <c r="L68" s="17">
        <v>-1.2</v>
      </c>
      <c r="M68" s="2">
        <v>2</v>
      </c>
    </row>
    <row r="69" spans="5:13">
      <c r="E69" s="2" t="s">
        <v>153</v>
      </c>
      <c r="F69" s="4">
        <v>1200000000000</v>
      </c>
      <c r="G69" s="1">
        <v>200000000000</v>
      </c>
      <c r="H69" s="2">
        <v>1</v>
      </c>
      <c r="I69" s="22">
        <v>5300000000000</v>
      </c>
      <c r="J69" s="19">
        <v>2</v>
      </c>
      <c r="K69" s="24">
        <v>330000000000</v>
      </c>
      <c r="L69" s="17">
        <v>-1.2</v>
      </c>
      <c r="M69" s="2">
        <v>2</v>
      </c>
    </row>
    <row r="70" spans="5:13">
      <c r="E70" s="2" t="s">
        <v>154</v>
      </c>
      <c r="F70" s="4">
        <v>1200000000000</v>
      </c>
      <c r="G70" s="1">
        <v>200000000000</v>
      </c>
      <c r="H70" s="2">
        <v>1</v>
      </c>
      <c r="I70" s="27">
        <v>5400000000000</v>
      </c>
      <c r="J70" s="20">
        <v>3</v>
      </c>
      <c r="K70" s="24">
        <v>330000000000</v>
      </c>
      <c r="L70" s="17">
        <v>-1.2</v>
      </c>
      <c r="M70" s="2">
        <v>2</v>
      </c>
    </row>
    <row r="71" spans="5:13">
      <c r="E71" s="2" t="s">
        <v>155</v>
      </c>
      <c r="F71" s="4">
        <v>1200000000000</v>
      </c>
      <c r="G71" s="1">
        <v>200000000000</v>
      </c>
      <c r="H71" s="2">
        <v>1</v>
      </c>
      <c r="I71" s="23">
        <v>5400000000000</v>
      </c>
      <c r="J71" s="2">
        <v>1</v>
      </c>
      <c r="K71" s="24">
        <v>330000000000</v>
      </c>
      <c r="L71" s="18">
        <v>-1.3</v>
      </c>
      <c r="M71" s="2">
        <v>2</v>
      </c>
    </row>
    <row r="72" spans="5:13">
      <c r="E72" s="2" t="s">
        <v>156</v>
      </c>
      <c r="F72" s="4">
        <v>1300000000000</v>
      </c>
      <c r="G72" s="25">
        <v>300000000000</v>
      </c>
      <c r="H72" s="2">
        <v>1</v>
      </c>
      <c r="I72" s="1">
        <v>5200000000000</v>
      </c>
      <c r="J72" s="19">
        <v>2</v>
      </c>
      <c r="K72" s="24">
        <v>330000000000</v>
      </c>
      <c r="L72" s="18">
        <v>-1.3</v>
      </c>
      <c r="M72" s="2">
        <v>2</v>
      </c>
    </row>
    <row r="73" spans="5:13">
      <c r="E73" s="2" t="s">
        <v>157</v>
      </c>
      <c r="F73" s="4">
        <v>1300000000000</v>
      </c>
      <c r="G73" s="25">
        <v>300000000000</v>
      </c>
      <c r="H73" s="2">
        <v>1</v>
      </c>
      <c r="I73" s="22">
        <v>5300000000000</v>
      </c>
      <c r="J73" s="20">
        <v>3</v>
      </c>
      <c r="K73" s="24">
        <v>330000000000</v>
      </c>
      <c r="L73" s="18">
        <v>-1.3</v>
      </c>
      <c r="M73" s="2">
        <v>2</v>
      </c>
    </row>
    <row r="74" spans="5:13">
      <c r="E74" s="2" t="s">
        <v>158</v>
      </c>
      <c r="F74" s="4">
        <v>1300000000000</v>
      </c>
      <c r="G74" s="25">
        <v>300000000000</v>
      </c>
      <c r="H74" s="2">
        <v>1</v>
      </c>
      <c r="I74" s="27">
        <v>5400000000000</v>
      </c>
      <c r="J74" s="2">
        <v>1</v>
      </c>
      <c r="K74" s="24">
        <v>330000000000</v>
      </c>
      <c r="L74" s="18">
        <v>-1.3</v>
      </c>
      <c r="M74" s="2">
        <v>2</v>
      </c>
    </row>
    <row r="75" spans="5:13">
      <c r="E75" s="2" t="s">
        <v>197</v>
      </c>
      <c r="F75" s="4">
        <v>1300000000000</v>
      </c>
      <c r="G75" s="25">
        <v>300000000000</v>
      </c>
      <c r="H75" s="2">
        <v>1</v>
      </c>
      <c r="I75" s="1">
        <v>5200000000000</v>
      </c>
      <c r="J75" s="19">
        <v>2</v>
      </c>
      <c r="K75" s="26">
        <v>360000000000</v>
      </c>
      <c r="L75" s="18">
        <v>-1.3</v>
      </c>
      <c r="M75" s="2">
        <v>2</v>
      </c>
    </row>
    <row r="76" spans="5:13">
      <c r="E76" s="2" t="s">
        <v>198</v>
      </c>
      <c r="F76" s="4">
        <v>1400000000000</v>
      </c>
      <c r="G76" s="25">
        <v>300000000000</v>
      </c>
      <c r="H76" s="2">
        <v>1</v>
      </c>
      <c r="I76" s="22">
        <v>5300000000000</v>
      </c>
      <c r="J76" s="20">
        <v>3</v>
      </c>
      <c r="K76" s="26">
        <v>360000000000</v>
      </c>
      <c r="L76" s="18">
        <v>-1.3</v>
      </c>
      <c r="M76" s="2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グラフ作成</vt:lpstr>
      <vt:lpstr>設定ファイル</vt:lpstr>
      <vt:lpstr>条件表</vt:lpstr>
      <vt:lpstr>DataTable</vt:lpstr>
      <vt:lpstr>DataTable_bck</vt:lpstr>
      <vt:lpstr>サマリ</vt:lpstr>
      <vt:lpstr>BCK_サマリ</vt:lpstr>
      <vt:lpstr>散布図</vt:lpstr>
      <vt:lpstr>BCK_散布図</vt:lpstr>
      <vt:lpstr>例_散布図</vt:lpstr>
      <vt:lpstr>work_template</vt:lpstr>
      <vt:lpstr>work_jyoken</vt:lpstr>
      <vt:lpstr>work_graph</vt:lpstr>
      <vt:lpstr>work_scatter1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2021-08-26T13:49:54Z</dcterms:modified>
</cp:coreProperties>
</file>