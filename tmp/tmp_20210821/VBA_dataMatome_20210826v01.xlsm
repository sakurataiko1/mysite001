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D5E35EC8-796D-4F79-8B2D-72E65C043976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グラフ作成" sheetId="6" r:id="rId1"/>
    <sheet name="設定ファイル" sheetId="41" r:id="rId2"/>
    <sheet name="条件表" sheetId="3" r:id="rId3"/>
    <sheet name="DataTable" sheetId="39" r:id="rId4"/>
    <sheet name="DataTable_bck" sheetId="23" r:id="rId5"/>
    <sheet name="サマリ" sheetId="16" r:id="rId6"/>
    <sheet name="BCK_サマリ" sheetId="43" r:id="rId7"/>
    <sheet name="散布図" sheetId="8" r:id="rId8"/>
    <sheet name="BCK_散布図" sheetId="44" r:id="rId9"/>
    <sheet name="例_散布図" sheetId="4" r:id="rId10"/>
    <sheet name="work_template" sheetId="42" r:id="rId11"/>
    <sheet name="work_jyoken" sheetId="12" r:id="rId12"/>
    <sheet name="work_graph" sheetId="7" r:id="rId13"/>
    <sheet name="work_scatter1" sheetId="13" r:id="rId14"/>
    <sheet name="work_scatter2" sheetId="11" r:id="rId15"/>
    <sheet name="src_jyoken" sheetId="40" r:id="rId16"/>
  </sheets>
  <functionGroups builtInGroupCount="19"/>
  <definedNames>
    <definedName name="_xlnm._FilterDatabase" localSheetId="8" hidden="1">BCK_散布図!#REF!</definedName>
    <definedName name="_xlnm._FilterDatabase" localSheetId="3" hidden="1">DataTable!$F$1:$Q$16</definedName>
    <definedName name="_xlnm._FilterDatabase" localSheetId="4" hidden="1">DataTable_bck!$F$1:$Q$16</definedName>
    <definedName name="_xlnm._FilterDatabase" localSheetId="13" hidden="1">work_scatter1!#REF!</definedName>
    <definedName name="_xlnm._FilterDatabase" localSheetId="7" hidden="1">散布図!#REF!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7" i="40" l="1"/>
  <c r="K46" i="40"/>
  <c r="K45" i="40"/>
  <c r="K35" i="40"/>
  <c r="K34" i="40"/>
  <c r="K33" i="40"/>
  <c r="K32" i="40"/>
  <c r="K31" i="40"/>
  <c r="K30" i="40"/>
  <c r="K13" i="40"/>
  <c r="K12" i="40"/>
  <c r="K11" i="40"/>
  <c r="D7" i="39"/>
  <c r="D6" i="39"/>
  <c r="D5" i="39"/>
  <c r="D7" i="23"/>
  <c r="D6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A12" authorId="0" shapeId="0" xr:uid="{97854794-DABE-4C9E-B8BD-9305CCEC4905}">
      <text>
        <r>
          <rPr>
            <sz val="9"/>
            <color indexed="81"/>
            <rFont val="MS P ゴシック"/>
            <family val="3"/>
            <charset val="128"/>
          </rPr>
          <t>■ X軸　コンボボックス
条件表から、
条件振りしている項目
条件表読み込みボタンが
押された時点で設定する
CWL01
DSR
など</t>
        </r>
      </text>
    </comment>
    <comment ref="D12" authorId="0" shapeId="0" xr:uid="{F704F1DE-DCAC-4ABC-AE61-C5D1E3FC83C3}">
      <text>
        <r>
          <rPr>
            <sz val="9"/>
            <color indexed="81"/>
            <rFont val="MS P ゴシック"/>
            <family val="3"/>
            <charset val="128"/>
          </rPr>
          <t xml:space="preserve">■Y軸　べたの表か、リストボックス
※設定ファイル登録ボタン押下時に選択肢が書き出される
・設定ファイルから　特性名
・ボタンでなく、リストボックス
　の複数選択でもいいかも。
・例　選択肢
　SRprot
  NSA
  PD_L
  PD_R
  …
  Qs
</t>
        </r>
      </text>
    </comment>
    <comment ref="K12" authorId="0" shapeId="0" xr:uid="{CC6CCC56-EB45-45B5-AAF4-2B88221C5DEF}">
      <text>
        <r>
          <rPr>
            <sz val="9"/>
            <color indexed="81"/>
            <rFont val="MS P ゴシック"/>
            <family val="3"/>
            <charset val="128"/>
          </rPr>
          <t xml:space="preserve">
※条件表登録ボタン押下時に選択肢が書き出される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1F4DEF5B-7393-4840-A7DB-AE8D2E608EE3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<sst xmlns="http://schemas.openxmlformats.org/spreadsheetml/2006/main" count="712" uniqueCount="195">
  <si>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</si>
  <si>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</si>
  <si>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</si>
  <si>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</si>
  <si>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</si>
  <si>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</si>
  <si>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</si>
  <si>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</si>
  <si>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</si>
  <si>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</si>
  <si>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</si>
  <si>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</si>
  <si>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</si>
  <si>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</si>
  <si>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</si>
  <si>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</si>
  <si>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</si>
  <si>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</si>
  <si>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</si>
  <si>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</si>
  <si>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</si>
  <si>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</si>
  <si>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</si>
  <si>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</si>
  <si>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</si>
  <si>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</si>
  <si>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</si>
  <si>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</si>
  <si>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</si>
  <si>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</si>
  <si>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</si>
  <si>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</si>
  <si>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</si>
  <si>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</si>
  <si>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</si>
  <si>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</si>
  <si>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</si>
  <si>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</si>
  <si>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</si>
  <si>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</si>
  <si>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</si>
  <si>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</si>
  <si>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</si>
  <si>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</si>
  <si>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</si>
  <si>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</si>
  <si>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</si>
  <si>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</si>
  <si>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</si>
  <si>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</si>
  <si>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</si>
  <si>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</si>
  <si>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</si>
  <si>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</si>
  <si>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</si>
  <si>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</si>
  <si>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</si>
  <si>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</si>
  <si>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</si>
  <si>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</si>
  <si>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</si>
  <si>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</si>
  <si>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</si>
  <si>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</si>
  <si>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</si>
  <si>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</si>
  <si>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</si>
  <si>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</si>
  <si>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</si>
  <si>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</si>
  <si>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</si>
  <si>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</si>
  <si>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</si>
  <si>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</si>
  <si>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</si>
  <si>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</si>
  <si>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</si>
  <si>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</si>
  <si>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</si>
  <si>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</si>
  <si>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</si>
  <si>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</si>
  <si>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</si>
  <si>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</si>
  <si>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</si>
  <si>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</si>
  <si>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</si>
  <si>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</si>
  <si>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</si>
  <si>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</si>
  <si>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</si>
  <si>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</si>
  <si>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</si>
  <si>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</si>
  <si>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</si>
  <si>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</si>
  <si>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</si>
  <si>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■ 散布図　グルーピング</t>
    <rPh sb="2" eb="5">
      <t>サンプズ</t>
    </rPh>
    <phoneticPr fontId="1"/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</si>
  <si>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</si>
  <si>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</si>
  <si>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</si>
  <si>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</si>
  <si>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X軸</t>
    <rPh sb="1" eb="2">
      <t>ジク</t>
    </rPh>
    <phoneticPr fontId="1"/>
  </si>
  <si>
    <t>Y軸=toku1</t>
    <rPh sb="1" eb="2">
      <t>ジク</t>
    </rPh>
    <phoneticPr fontId="1"/>
  </si>
  <si>
    <t>X軸/Y軸</t>
    <rPh sb="1" eb="2">
      <t>ジク</t>
    </rPh>
    <rPh sb="4" eb="5">
      <t>ジク</t>
    </rPh>
    <phoneticPr fontId="1"/>
  </si>
  <si>
    <t>CWL1 =1.30E+12,matA =3.00E+11,OFD =3.60E+12,</t>
  </si>
  <si>
    <t>CWL1 =1.30E+12,matA =3.00E+11,OFD =3.60E+13,</t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</si>
  <si>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</si>
  <si>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</si>
  <si>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</si>
  <si>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</si>
  <si>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</si>
  <si>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</si>
  <si>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</si>
  <si>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</si>
  <si>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</si>
  <si>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</si>
  <si>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</si>
  <si>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imp01</t>
    <phoneticPr fontId="1"/>
  </si>
  <si>
    <t>CWL1_dose</t>
  </si>
  <si>
    <t>_</t>
  </si>
  <si>
    <t>レ</t>
  </si>
  <si>
    <t>CWL1_dose</t>
    <phoneticPr fontId="1"/>
  </si>
  <si>
    <t>matA_dose</t>
    <phoneticPr fontId="1"/>
  </si>
  <si>
    <t>OFD_dose</t>
    <phoneticPr fontId="1"/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</si>
  <si>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</si>
  <si>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</si>
  <si>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</si>
  <si>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</si>
  <si>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</si>
  <si>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Field</t>
  </si>
  <si>
    <t>Unit</t>
  </si>
  <si>
    <t>group</t>
  </si>
  <si>
    <t>x</t>
  </si>
  <si>
    <t>jyoken</t>
  </si>
  <si>
    <t>y_01_TGoff</t>
  </si>
  <si>
    <t>y_01_TGon</t>
  </si>
  <si>
    <t>y_03_Qs</t>
  </si>
  <si>
    <t>NAME</t>
  </si>
  <si>
    <t>filter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</si>
  <si>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</si>
  <si>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</si>
  <si>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</si>
  <si>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</si>
  <si>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</si>
  <si>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</si>
  <si>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</si>
  <si>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条件表1</t>
    <rPh sb="0" eb="2">
      <t>ジョウケン</t>
    </rPh>
    <rPh sb="2" eb="3">
      <t>ヒョウ</t>
    </rPh>
    <phoneticPr fontId="1"/>
  </si>
  <si>
    <t>コメント</t>
    <phoneticPr fontId="1"/>
  </si>
  <si>
    <t>As</t>
    <phoneticPr fontId="1"/>
  </si>
  <si>
    <t>B</t>
    <phoneticPr fontId="1"/>
  </si>
  <si>
    <t>300kev</t>
    <phoneticPr fontId="1"/>
  </si>
  <si>
    <t>100kev</t>
    <phoneticPr fontId="1"/>
  </si>
  <si>
    <t>200kev</t>
    <phoneticPr fontId="1"/>
  </si>
  <si>
    <t>1000kev</t>
    <phoneticPr fontId="1"/>
  </si>
  <si>
    <t>30kev</t>
    <phoneticPr fontId="1"/>
  </si>
  <si>
    <t>150kev</t>
    <phoneticPr fontId="1"/>
  </si>
  <si>
    <t>1200kev</t>
    <phoneticPr fontId="1"/>
  </si>
  <si>
    <t>e12</t>
    <phoneticPr fontId="1"/>
  </si>
  <si>
    <t>e11</t>
    <phoneticPr fontId="1"/>
  </si>
  <si>
    <t>01_TGoff/imp01</t>
  </si>
  <si>
    <t>01_TGoff/imp02</t>
  </si>
  <si>
    <t>01_TGoff/imp03</t>
  </si>
  <si>
    <t>01_TGon/imp04</t>
  </si>
  <si>
    <t>01_TGon/imp05</t>
  </si>
  <si>
    <t>01_TGon/imp06</t>
  </si>
  <si>
    <t>01_TGon/imp07</t>
  </si>
  <si>
    <t>01_TGon/imp08</t>
  </si>
  <si>
    <t>01_TGon/imp09</t>
  </si>
  <si>
    <t>01_TGon/imp10</t>
  </si>
  <si>
    <t>01_TGon/imp11</t>
  </si>
  <si>
    <t>01_TGon/imp12</t>
  </si>
  <si>
    <t>02_TGoff/imp01</t>
  </si>
  <si>
    <t>02_TGoff/imp02</t>
  </si>
  <si>
    <t>02_TGoff/imp03</t>
  </si>
  <si>
    <t>02_TGoff/imp04</t>
  </si>
  <si>
    <t>02_TGoff/imp05</t>
  </si>
  <si>
    <t>02_TGoff/imp06</t>
  </si>
  <si>
    <t>02_TGoff/imp07</t>
  </si>
  <si>
    <t>02_TGoff/imp08</t>
  </si>
  <si>
    <t>02_TGoff/imp09</t>
  </si>
  <si>
    <t>02_TGoff/imp10</t>
  </si>
  <si>
    <t>02_TGoff/imp11</t>
  </si>
  <si>
    <t>02_TGoff/imp12</t>
  </si>
  <si>
    <t>C:\kuroda\work\00_TCAD\20210701_PDsim\第1要望_自動グラフ作成_Excelマクロ\デバッグ用_マクロインプットデータ\マクロインプットデータ_条件表.xlsx</t>
    <phoneticPr fontId="1"/>
  </si>
  <si>
    <t>指定範囲 $E$10:$A$22</t>
    <phoneticPr fontId="1"/>
  </si>
  <si>
    <t>条件表2 重複あり</t>
    <rPh sb="0" eb="2">
      <t>ジョウケン</t>
    </rPh>
    <rPh sb="2" eb="3">
      <t>ヒョウ</t>
    </rPh>
    <rPh sb="5" eb="7">
      <t>ジュウフク</t>
    </rPh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</si>
  <si>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</si>
  <si>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C:\kuroda\work\00_TCAD\20210701_PDsim\第1要望_自動グラフ作成_Excelマクロ\デバッグ用_マクロインプットデータ\マクロインプットデータ_speedData.xlsx</t>
    <phoneticPr fontId="1"/>
  </si>
  <si>
    <t>■[DEBUG] data_ary内容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</si>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</sst>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9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Border="1"/>
    <xf numFmtId="0" fontId="0" fillId="19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FF"/>
      <color rgb="FFFF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72-4697-A5F5-6A4580F011EF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72-4697-A5F5-6A4580F011EF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72-4697-A5F5-6A4580F011EF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72-4697-A5F5-6A4580F01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B-4695-A6F3-B26F30DC6287}"/>
            </c:ext>
          </c:extLst>
        </c:ser>
        <c:ser>
          <c:idx val="1"/>
          <c:order val="1"/>
          <c:tx>
            <c:strRef>
              <c:f>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2B-4695-A6F3-B26F30DC6287}"/>
            </c:ext>
          </c:extLst>
        </c:ser>
        <c:ser>
          <c:idx val="2"/>
          <c:order val="2"/>
          <c:tx>
            <c:strRef>
              <c:f>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2B-4695-A6F3-B26F30DC6287}"/>
            </c:ext>
          </c:extLst>
        </c:ser>
        <c:ser>
          <c:idx val="3"/>
          <c:order val="3"/>
          <c:tx>
            <c:strRef>
              <c:f>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2B-4695-A6F3-B26F30DC6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77-4FBC-86FC-DB6590C72F71}"/>
            </c:ext>
          </c:extLst>
        </c:ser>
        <c:ser>
          <c:idx val="1"/>
          <c:order val="1"/>
          <c:tx>
            <c:strRef>
              <c:f>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77-4FBC-86FC-DB6590C72F71}"/>
            </c:ext>
          </c:extLst>
        </c:ser>
        <c:ser>
          <c:idx val="2"/>
          <c:order val="2"/>
          <c:tx>
            <c:strRef>
              <c:f>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77-4FBC-86FC-DB6590C72F71}"/>
            </c:ext>
          </c:extLst>
        </c:ser>
        <c:ser>
          <c:idx val="3"/>
          <c:order val="3"/>
          <c:tx>
            <c:strRef>
              <c:f>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77-4FBC-86FC-DB6590C72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11-465A-8F45-515C9F35C5DB}"/>
            </c:ext>
          </c:extLst>
        </c:ser>
        <c:ser>
          <c:idx val="1"/>
          <c:order val="1"/>
          <c:tx>
            <c:strRef>
              <c:f>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11-465A-8F45-515C9F35C5DB}"/>
            </c:ext>
          </c:extLst>
        </c:ser>
        <c:ser>
          <c:idx val="2"/>
          <c:order val="2"/>
          <c:tx>
            <c:strRef>
              <c:f>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11-465A-8F45-515C9F35C5DB}"/>
            </c:ext>
          </c:extLst>
        </c:ser>
        <c:ser>
          <c:idx val="3"/>
          <c:order val="3"/>
          <c:tx>
            <c:strRef>
              <c:f>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11-465A-8F45-515C9F35C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work_scatter2!$G$5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work_scatter2!$G$6:$G$9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CD-4F1A-A2BE-44CA41D5855B}"/>
            </c:ext>
          </c:extLst>
        </c:ser>
        <c:ser>
          <c:idx val="1"/>
          <c:order val="1"/>
          <c:tx>
            <c:strRef>
              <c:f>work_scatter2!$H$5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work_scatter2!$H$6:$H$9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CD-4F1A-A2BE-44CA41D5855B}"/>
            </c:ext>
          </c:extLst>
        </c:ser>
        <c:ser>
          <c:idx val="2"/>
          <c:order val="2"/>
          <c:tx>
            <c:strRef>
              <c:f>work_scatter2!$I$5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work_scatter2!$I$6:$I$9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CD-4F1A-A2BE-44CA41D5855B}"/>
            </c:ext>
          </c:extLst>
        </c:ser>
        <c:ser>
          <c:idx val="3"/>
          <c:order val="3"/>
          <c:tx>
            <c:strRef>
              <c:f>work_scatter2!$J$5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work_scatter2!$J$6:$J$9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CD-4F1A-A2BE-44CA41D58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390525</xdr:rowOff>
        </xdr:from>
        <xdr:to>
          <xdr:col>15</xdr:col>
          <xdr:colOff>104775</xdr:colOff>
          <xdr:row>2</xdr:row>
          <xdr:rowOff>19050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15</xdr:row>
      <xdr:rowOff>9525</xdr:rowOff>
    </xdr:to>
    <xdr:graphicFrame macro="">
      <xdr:nvGraphicFramePr>
        <xdr:cNvPr id="6" name="graph_scatter_010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7" name="graph_scatter_2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8" name="graph_scatter_3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9" name="graph_scatter_4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15</xdr:row>
      <xdr:rowOff>9525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443753</xdr:colOff>
      <xdr:row>12</xdr:row>
      <xdr:rowOff>93008</xdr:rowOff>
    </xdr:to>
    <xdr:graphicFrame macro="">
      <xdr:nvGraphicFramePr>
        <xdr:cNvPr id="2" name="graph_template_summary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180975</xdr:colOff>
      <xdr:row>0</xdr:row>
      <xdr:rowOff>171450</xdr:rowOff>
    </xdr:from>
    <xdr:to>
      <xdr:col>20</xdr:col>
      <xdr:colOff>14287</xdr:colOff>
      <xdr:row>10</xdr:row>
      <xdr:rowOff>180975</xdr:rowOff>
    </xdr:to>
    <xdr:graphicFrame macro="">
      <xdr:nvGraphicFramePr>
        <xdr:cNvPr id="5" name="scatter_graph_template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tabSelected="1" workbookViewId="0">
      <selection activeCell="F10" sqref="F10"/>
    </sheetView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184</v>
      </c>
    </row>
    <row r="5" spans="1:22">
      <c r="E5" s="13" t="s">
        <v>185</v>
      </c>
    </row>
    <row r="7" spans="1:22">
      <c r="E7" s="13" t="s">
        <v>187</v>
      </c>
    </row>
    <row r="9" spans="1:22">
      <c r="E9" s="13" t="s">
        <v>188</v>
      </c>
    </row>
    <row r="10" spans="1:22" ht="45.75" customHeight="1"/>
    <row r="11" spans="1:22" ht="45.75" customHeight="1"/>
    <row r="12" spans="1:22">
      <c r="A12" s="30" t="s">
        <v>63</v>
      </c>
      <c r="B12" s="29"/>
      <c r="C12" s="29"/>
      <c r="D12" s="29" t="s">
        <v>66</v>
      </c>
      <c r="E12" s="29"/>
      <c r="F12" s="29"/>
      <c r="I12" s="29"/>
      <c r="J12" s="29" t="s">
        <v>117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</row>
    <row r="13" spans="1:22">
      <c r="A13" s="29"/>
      <c r="B13" s="29"/>
      <c r="C13" s="29"/>
      <c r="D13" s="29" t="s">
        <v>116</v>
      </c>
      <c r="E13" s="29"/>
      <c r="F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</row>
    <row r="14" spans="1:22">
      <c r="A14" s="29"/>
      <c r="B14" s="29">
        <v>3</v>
      </c>
      <c r="C14" s="29"/>
      <c r="D14" s="31"/>
      <c r="E14" s="32" t="s">
        <v>0</v>
      </c>
      <c r="F14" s="32" t="s">
        <v>126</v>
      </c>
      <c r="G14" s="29"/>
      <c r="H14" s="29"/>
      <c r="J14" s="16" t="s">
        <v>120</v>
      </c>
      <c r="K14" s="16" t="s">
        <v>119</v>
      </c>
      <c r="L14" s="16" t="s">
        <v>120</v>
      </c>
      <c r="M14" s="16" t="s">
        <v>109</v>
      </c>
      <c r="N14" s="16" t="s">
        <v>120</v>
      </c>
      <c r="O14" s="16" t="s">
        <v>111</v>
      </c>
      <c r="P14" s="16" t="s">
        <v>120</v>
      </c>
      <c r="Q14" s="16" t="s">
        <v>112</v>
      </c>
      <c r="R14" s="16" t="s">
        <v>120</v>
      </c>
      <c r="S14" s="16" t="s">
        <v>113</v>
      </c>
      <c r="T14" s="16" t="s">
        <v>120</v>
      </c>
      <c r="U14" s="16" t="s">
        <v>114</v>
      </c>
      <c r="V14" s="29"/>
    </row>
    <row r="15" spans="1:22">
      <c r="A15" s="29"/>
      <c r="B15" s="29"/>
      <c r="C15" s="29"/>
      <c r="D15" s="14" t="s">
        <v>121</v>
      </c>
      <c r="E15" s="14" t="s">
        <v>84</v>
      </c>
      <c r="F15" s="14" t="s">
        <v>24</v>
      </c>
      <c r="G15" s="29"/>
      <c r="H15" s="29"/>
      <c r="J15" s="14"/>
      <c r="K15" s="14">
        <v>1100000000000</v>
      </c>
      <c r="L15" s="14"/>
      <c r="M15" s="14">
        <v>200000000000</v>
      </c>
      <c r="N15" s="14"/>
      <c r="O15" s="14">
        <v>5200000000000</v>
      </c>
      <c r="P15" s="14"/>
      <c r="Q15" s="14">
        <v>1</v>
      </c>
      <c r="R15" s="14"/>
      <c r="S15" s="14">
        <v>311000000000</v>
      </c>
      <c r="T15" s="14"/>
      <c r="U15" s="14">
        <v>-1.1000000000000001</v>
      </c>
      <c r="V15" s="29"/>
    </row>
    <row r="16" spans="1:22">
      <c r="A16" s="29"/>
      <c r="B16" s="29"/>
      <c r="C16" s="29"/>
      <c r="D16" s="14" t="s">
        <v>121</v>
      </c>
      <c r="E16" s="14" t="s">
        <v>68</v>
      </c>
      <c r="F16" s="14" t="s">
        <v>24</v>
      </c>
      <c r="G16" s="29"/>
      <c r="H16" s="29"/>
      <c r="J16" s="14"/>
      <c r="K16" s="14">
        <v>1200000000000</v>
      </c>
      <c r="L16" s="14"/>
      <c r="M16" s="14">
        <v>300000000000</v>
      </c>
      <c r="N16" s="14"/>
      <c r="O16" s="14">
        <v>5300000000000</v>
      </c>
      <c r="P16" s="14"/>
      <c r="Q16" s="14">
        <v>2</v>
      </c>
      <c r="R16" s="14"/>
      <c r="S16" s="14">
        <v>330000000000</v>
      </c>
      <c r="T16" s="14"/>
      <c r="U16" s="14">
        <v>-1.2</v>
      </c>
      <c r="V16" s="29"/>
    </row>
    <row r="17" spans="1:22">
      <c r="A17" s="29"/>
      <c r="B17" s="29"/>
      <c r="C17" s="29"/>
      <c r="D17" s="14" t="s">
        <v>121</v>
      </c>
      <c r="E17" s="14" t="s">
        <v>70</v>
      </c>
      <c r="F17" s="14" t="s">
        <v>24</v>
      </c>
      <c r="G17" s="29"/>
      <c r="H17" s="29"/>
      <c r="J17" s="14"/>
      <c r="K17" s="14">
        <v>1300000000000</v>
      </c>
      <c r="L17" s="14"/>
      <c r="M17" s="14"/>
      <c r="N17" s="14"/>
      <c r="O17" s="14">
        <v>5400000000000</v>
      </c>
      <c r="P17" s="14"/>
      <c r="Q17" s="14">
        <v>3</v>
      </c>
      <c r="R17" s="14"/>
      <c r="S17" s="14">
        <v>360000000000</v>
      </c>
      <c r="T17" s="14"/>
      <c r="U17" s="14">
        <v>-1.3</v>
      </c>
      <c r="V17" s="29"/>
    </row>
    <row r="18" spans="1:22">
      <c r="A18" s="29"/>
      <c r="B18" s="29"/>
      <c r="C18" s="29"/>
      <c r="D18" s="14" t="s">
        <v>121</v>
      </c>
      <c r="E18" s="14" t="s">
        <v>74</v>
      </c>
      <c r="F18" s="14" t="s">
        <v>127</v>
      </c>
      <c r="G18" s="29"/>
      <c r="H18" s="29"/>
      <c r="J18" s="14"/>
      <c r="K18" s="14">
        <v>1400000000000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9"/>
    </row>
    <row r="19" spans="1:22">
      <c r="A19" s="29"/>
      <c r="B19" s="29"/>
      <c r="C19" s="29"/>
      <c r="D19" s="14" t="s">
        <v>121</v>
      </c>
      <c r="E19" s="14" t="s">
        <v>85</v>
      </c>
      <c r="F19" s="14" t="s">
        <v>128</v>
      </c>
      <c r="G19" s="29"/>
      <c r="H19" s="29"/>
      <c r="V19" s="29"/>
    </row>
    <row r="20" spans="1:22">
      <c r="G20" s="29"/>
      <c r="H20" s="29"/>
      <c r="V20" s="29"/>
    </row>
  </sheetData>
  <phoneticPr fontId="1"/>
  <dataValidations count="1">
    <dataValidation type="list" allowBlank="1" showInputMessage="1" showErrorMessage="1" sqref="D14:D19 J15:J19 L15:L19 N15:N19 P15:P19 R15:R19 T15:T19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10</xdr:col>
                    <xdr:colOff>200025</xdr:colOff>
                    <xdr:row>0</xdr:row>
                    <xdr:rowOff>390525</xdr:rowOff>
                  </from>
                  <to>
                    <xdr:col>15</xdr:col>
                    <xdr:colOff>104775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69B2B-8CDC-4976-8EC2-D05B7D61EBD5}">
  <sheetPr codeName="Sheet5">
    <tabColor theme="9"/>
  </sheetPr>
  <dimension ref="A1:H6"/>
  <sheetViews>
    <sheetView workbookViewId="0"/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126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2"/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2">
        <v>-0.33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3">
        <v>802000000000</v>
      </c>
      <c r="E5" s="2" t="s">
        <v>127</v>
      </c>
      <c r="F5" s="2"/>
      <c r="G5" s="2"/>
      <c r="H5" s="2" t="s">
        <v>11</v>
      </c>
    </row>
    <row r="6" spans="1:8">
      <c r="A6" t="s">
        <v>83</v>
      </c>
      <c r="B6" s="2"/>
      <c r="C6" s="2" t="s">
        <v>6</v>
      </c>
      <c r="D6" s="2">
        <v>20000</v>
      </c>
      <c r="E6" s="2" t="s">
        <v>128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activeCell="A21" sqref="A21"/>
    </sheetView>
  </sheetViews>
  <sheetFormatPr defaultRowHeight="18.75"/>
  <sheetData>
    <row r="1" spans="1:9">
      <c r="A1" s="2" t="s">
        <v>12</v>
      </c>
      <c r="B1" s="2" t="s">
        <v>108</v>
      </c>
      <c r="C1" s="2" t="s">
        <v>109</v>
      </c>
      <c r="D1" s="2" t="s">
        <v>110</v>
      </c>
      <c r="E1" s="2" t="s">
        <v>111</v>
      </c>
      <c r="F1" s="2" t="s">
        <v>112</v>
      </c>
      <c r="G1" s="2" t="s">
        <v>113</v>
      </c>
      <c r="H1" s="2" t="s">
        <v>114</v>
      </c>
      <c r="I1" s="2" t="s">
        <v>115</v>
      </c>
    </row>
    <row r="2" spans="1:9">
      <c r="A2" s="2" t="s">
        <v>160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161</v>
      </c>
      <c r="B3" s="1">
        <v>1100000000000</v>
      </c>
      <c r="C3" s="1">
        <v>200000000000</v>
      </c>
      <c r="D3" s="2">
        <v>1</v>
      </c>
      <c r="E3" s="22">
        <v>5300000000000</v>
      </c>
      <c r="F3" s="19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162</v>
      </c>
      <c r="B4" s="1">
        <v>1100000000000</v>
      </c>
      <c r="C4" s="1">
        <v>200000000000</v>
      </c>
      <c r="D4" s="2">
        <v>1</v>
      </c>
      <c r="E4" s="27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163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4">
        <v>330000000000</v>
      </c>
      <c r="H5" s="17">
        <v>-1.2</v>
      </c>
      <c r="I5" s="2">
        <v>2</v>
      </c>
    </row>
    <row r="6" spans="1:9">
      <c r="A6" s="2" t="s">
        <v>164</v>
      </c>
      <c r="B6" s="4">
        <v>1200000000000</v>
      </c>
      <c r="C6" s="1">
        <v>200000000000</v>
      </c>
      <c r="D6" s="2">
        <v>1</v>
      </c>
      <c r="E6" s="22">
        <v>5300000000000</v>
      </c>
      <c r="F6" s="19">
        <v>2</v>
      </c>
      <c r="G6" s="24">
        <v>330000000000</v>
      </c>
      <c r="H6" s="17">
        <v>-1.2</v>
      </c>
      <c r="I6" s="2">
        <v>2</v>
      </c>
    </row>
    <row r="7" spans="1:9">
      <c r="A7" s="2" t="s">
        <v>165</v>
      </c>
      <c r="B7" s="4">
        <v>1200000000000</v>
      </c>
      <c r="C7" s="1">
        <v>200000000000</v>
      </c>
      <c r="D7" s="2">
        <v>1</v>
      </c>
      <c r="E7" s="27">
        <v>5400000000000</v>
      </c>
      <c r="F7" s="20">
        <v>3</v>
      </c>
      <c r="G7" s="24">
        <v>330000000000</v>
      </c>
      <c r="H7" s="17">
        <v>-1.2</v>
      </c>
      <c r="I7" s="2">
        <v>2</v>
      </c>
    </row>
    <row r="8" spans="1:9">
      <c r="A8" s="2" t="s">
        <v>166</v>
      </c>
      <c r="B8" s="4">
        <v>1200000000000</v>
      </c>
      <c r="C8" s="1">
        <v>200000000000</v>
      </c>
      <c r="D8" s="2">
        <v>1</v>
      </c>
      <c r="E8" s="23">
        <v>5400000000000</v>
      </c>
      <c r="F8" s="2">
        <v>1</v>
      </c>
      <c r="G8" s="24">
        <v>330000000000</v>
      </c>
      <c r="H8" s="18">
        <v>-1.3</v>
      </c>
      <c r="I8" s="2">
        <v>2</v>
      </c>
    </row>
    <row r="9" spans="1:9">
      <c r="A9" s="2" t="s">
        <v>167</v>
      </c>
      <c r="B9" s="4">
        <v>1300000000000</v>
      </c>
      <c r="C9" s="25">
        <v>300000000000</v>
      </c>
      <c r="D9" s="2">
        <v>1</v>
      </c>
      <c r="E9" s="1">
        <v>5200000000000</v>
      </c>
      <c r="F9" s="19">
        <v>2</v>
      </c>
      <c r="G9" s="24">
        <v>330000000000</v>
      </c>
      <c r="H9" s="18">
        <v>-1.3</v>
      </c>
      <c r="I9" s="2">
        <v>2</v>
      </c>
    </row>
    <row r="10" spans="1:9">
      <c r="A10" s="2" t="s">
        <v>168</v>
      </c>
      <c r="B10" s="4">
        <v>1300000000000</v>
      </c>
      <c r="C10" s="25">
        <v>300000000000</v>
      </c>
      <c r="D10" s="2">
        <v>1</v>
      </c>
      <c r="E10" s="22">
        <v>5300000000000</v>
      </c>
      <c r="F10" s="20">
        <v>3</v>
      </c>
      <c r="G10" s="24">
        <v>330000000000</v>
      </c>
      <c r="H10" s="18">
        <v>-1.3</v>
      </c>
      <c r="I10" s="2">
        <v>2</v>
      </c>
    </row>
    <row r="11" spans="1:9">
      <c r="A11" s="2" t="s">
        <v>169</v>
      </c>
      <c r="B11" s="4">
        <v>1300000000000</v>
      </c>
      <c r="C11" s="25">
        <v>300000000000</v>
      </c>
      <c r="D11" s="2">
        <v>1</v>
      </c>
      <c r="E11" s="27">
        <v>5400000000000</v>
      </c>
      <c r="F11" s="2">
        <v>1</v>
      </c>
      <c r="G11" s="24">
        <v>330000000000</v>
      </c>
      <c r="H11" s="18">
        <v>-1.3</v>
      </c>
      <c r="I11" s="2">
        <v>2</v>
      </c>
    </row>
    <row r="12" spans="1:9">
      <c r="A12" s="2" t="s">
        <v>170</v>
      </c>
      <c r="B12" s="4">
        <v>1300000000000</v>
      </c>
      <c r="C12" s="25">
        <v>300000000000</v>
      </c>
      <c r="D12" s="2">
        <v>1</v>
      </c>
      <c r="E12" s="1">
        <v>5200000000000</v>
      </c>
      <c r="F12" s="19">
        <v>2</v>
      </c>
      <c r="G12" s="26">
        <v>360000000000</v>
      </c>
      <c r="H12" s="18">
        <v>-1.3</v>
      </c>
      <c r="I12" s="2">
        <v>2</v>
      </c>
    </row>
    <row r="13" spans="1:9">
      <c r="A13" s="2" t="s">
        <v>171</v>
      </c>
      <c r="B13" s="4">
        <v>1400000000000</v>
      </c>
      <c r="C13" s="25">
        <v>300000000000</v>
      </c>
      <c r="D13" s="2">
        <v>1</v>
      </c>
      <c r="E13" s="22">
        <v>5300000000000</v>
      </c>
      <c r="F13" s="20">
        <v>3</v>
      </c>
      <c r="G13" s="26">
        <v>360000000000</v>
      </c>
      <c r="H13" s="18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0F011-6CE0-4B0D-8E6E-07B74C5596B6}">
  <sheetPr codeName="Sheet16">
    <tabColor theme="9"/>
  </sheetPr>
  <dimension ref="A1:Q16"/>
  <sheetViews>
    <sheetView workbookViewId="0">
      <selection activeCell="G13" sqref="F13:G21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128</v>
      </c>
      <c r="Q1" t="s">
        <v>128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1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128</v>
      </c>
      <c r="Q4" t="s">
        <v>128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2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7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4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4">
        <v>330000000000</v>
      </c>
      <c r="E9" s="22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4">
        <v>330000000000</v>
      </c>
      <c r="E10" s="27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4">
        <v>330000000000</v>
      </c>
      <c r="E11" s="23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5">
        <v>300000000000</v>
      </c>
      <c r="D12" s="24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5">
        <v>300000000000</v>
      </c>
      <c r="D13" s="24">
        <v>330000000000</v>
      </c>
      <c r="E13" s="22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5">
        <v>300000000000</v>
      </c>
      <c r="D14" s="24">
        <v>330000000000</v>
      </c>
      <c r="E14" s="27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5">
        <v>300000000000</v>
      </c>
      <c r="D15" s="26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5">
        <v>300000000000</v>
      </c>
      <c r="D16" s="26">
        <v>360000000000</v>
      </c>
      <c r="E16" s="22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2D599-95D0-4583-BFA3-C8C4F7CE55D0}">
  <sheetPr codeName="Sheet7">
    <tabColor theme="9"/>
  </sheetPr>
  <dimension ref="A1:Q16"/>
  <sheetViews>
    <sheetView workbookViewId="0"/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128</v>
      </c>
      <c r="Q1" t="s">
        <v>128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1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128</v>
      </c>
      <c r="Q4" t="s">
        <v>128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2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7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4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4">
        <v>330000000000</v>
      </c>
      <c r="E9" s="22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4">
        <v>330000000000</v>
      </c>
      <c r="E10" s="27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4">
        <v>330000000000</v>
      </c>
      <c r="E11" s="23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5">
        <v>300000000000</v>
      </c>
      <c r="D12" s="24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5">
        <v>300000000000</v>
      </c>
      <c r="D13" s="24">
        <v>330000000000</v>
      </c>
      <c r="E13" s="22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5">
        <v>300000000000</v>
      </c>
      <c r="D14" s="24">
        <v>330000000000</v>
      </c>
      <c r="E14" s="27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5">
        <v>300000000000</v>
      </c>
      <c r="D15" s="26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5">
        <v>300000000000</v>
      </c>
      <c r="D16" s="26">
        <v>360000000000</v>
      </c>
      <c r="E16" s="22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E13"/>
  <sheetViews>
    <sheetView zoomScale="85" zoomScaleNormal="85" workbookViewId="0">
      <selection activeCell="B2" sqref="B2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1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1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E33"/>
  <sheetViews>
    <sheetView zoomScaleNormal="100" workbookViewId="0"/>
  </sheetViews>
  <sheetFormatPr defaultRowHeight="18.75"/>
  <sheetData>
    <row r="1" spans="1:5">
      <c r="A1" t="s">
        <v>140</v>
      </c>
    </row>
    <row r="4" spans="1:5">
      <c r="A4" t="s">
        <v>141</v>
      </c>
    </row>
    <row r="5" spans="1:5">
      <c r="B5" t="s">
        <v>142</v>
      </c>
    </row>
    <row r="6" spans="1:5">
      <c r="A6" t="s">
        <v>143</v>
      </c>
      <c r="B6" t="s">
        <v>190</v>
      </c>
      <c r="C6" t="s">
        <v>191</v>
      </c>
      <c r="D6" t="s">
        <v>192</v>
      </c>
      <c r="E6" t="s">
        <v>193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144</v>
      </c>
    </row>
    <row r="13" spans="1:5">
      <c r="B13" t="s">
        <v>142</v>
      </c>
    </row>
    <row r="14" spans="1:5">
      <c r="A14" t="s">
        <v>143</v>
      </c>
      <c r="B14" t="s">
        <v>190</v>
      </c>
      <c r="C14" t="s">
        <v>191</v>
      </c>
      <c r="D14" t="s">
        <v>192</v>
      </c>
      <c r="E14" t="s">
        <v>193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145</v>
      </c>
    </row>
    <row r="21" spans="1:5">
      <c r="B21" t="s">
        <v>142</v>
      </c>
    </row>
    <row r="22" spans="1:5">
      <c r="A22" t="s">
        <v>143</v>
      </c>
      <c r="B22" t="s">
        <v>190</v>
      </c>
      <c r="C22" t="s">
        <v>191</v>
      </c>
      <c r="D22" t="s">
        <v>192</v>
      </c>
      <c r="E22" t="s">
        <v>193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146</v>
      </c>
    </row>
    <row r="29" spans="1:5">
      <c r="B29" t="s">
        <v>142</v>
      </c>
    </row>
    <row r="30" spans="1:5">
      <c r="A30" t="s">
        <v>143</v>
      </c>
      <c r="B30" t="s">
        <v>190</v>
      </c>
      <c r="C30" t="s">
        <v>191</v>
      </c>
      <c r="D30" t="s">
        <v>192</v>
      </c>
      <c r="E30" t="s">
        <v>193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/>
  </sheetViews>
  <sheetFormatPr defaultRowHeight="18.75"/>
  <sheetData>
    <row r="1" spans="1:5">
      <c r="A1" t="s">
        <v>140</v>
      </c>
    </row>
    <row r="4" spans="1:5">
      <c r="A4" t="s">
        <v>141</v>
      </c>
    </row>
    <row r="5" spans="1:5">
      <c r="B5" t="s">
        <v>142</v>
      </c>
    </row>
    <row r="6" spans="1:5">
      <c r="A6" t="s">
        <v>143</v>
      </c>
      <c r="B6" t="s">
        <v>190</v>
      </c>
      <c r="C6" t="s">
        <v>191</v>
      </c>
      <c r="D6" t="s">
        <v>192</v>
      </c>
      <c r="E6" t="s">
        <v>193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144</v>
      </c>
    </row>
    <row r="13" spans="1:5">
      <c r="B13" t="s">
        <v>142</v>
      </c>
    </row>
    <row r="14" spans="1:5">
      <c r="A14" t="s">
        <v>143</v>
      </c>
      <c r="B14" t="s">
        <v>190</v>
      </c>
      <c r="C14" t="s">
        <v>191</v>
      </c>
      <c r="D14" t="s">
        <v>192</v>
      </c>
      <c r="E14" t="s">
        <v>193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145</v>
      </c>
    </row>
    <row r="21" spans="1:5">
      <c r="B21" t="s">
        <v>142</v>
      </c>
    </row>
    <row r="22" spans="1:5">
      <c r="A22" t="s">
        <v>143</v>
      </c>
      <c r="B22" t="s">
        <v>190</v>
      </c>
      <c r="C22" t="s">
        <v>191</v>
      </c>
      <c r="D22" t="s">
        <v>192</v>
      </c>
      <c r="E22" t="s">
        <v>193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146</v>
      </c>
    </row>
    <row r="29" spans="1:5">
      <c r="B29" t="s">
        <v>142</v>
      </c>
    </row>
    <row r="30" spans="1:5">
      <c r="A30" t="s">
        <v>143</v>
      </c>
      <c r="B30" t="s">
        <v>190</v>
      </c>
      <c r="C30" t="s">
        <v>191</v>
      </c>
      <c r="D30" t="s">
        <v>192</v>
      </c>
      <c r="E30" t="s">
        <v>193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E13"/>
  <sheetViews>
    <sheetView workbookViewId="0">
      <selection activeCell="H14" sqref="H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1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R13"/>
    </sheetView>
  </sheetViews>
  <sheetFormatPr defaultRowHeight="18.75"/>
  <sheetData>
    <row r="1" spans="1:9">
      <c r="A1" s="2" t="s">
        <v>12</v>
      </c>
      <c r="B1" s="2" t="s">
        <v>108</v>
      </c>
      <c r="C1" s="2" t="s">
        <v>109</v>
      </c>
      <c r="D1" s="2" t="s">
        <v>110</v>
      </c>
      <c r="E1" s="2" t="s">
        <v>111</v>
      </c>
      <c r="F1" s="2" t="s">
        <v>112</v>
      </c>
      <c r="G1" s="2" t="s">
        <v>113</v>
      </c>
      <c r="H1" s="2" t="s">
        <v>114</v>
      </c>
      <c r="I1" s="2" t="s">
        <v>115</v>
      </c>
    </row>
    <row r="2" spans="1:9">
      <c r="A2" s="2" t="s">
        <v>160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161</v>
      </c>
      <c r="B3" s="1">
        <v>1100000000000</v>
      </c>
      <c r="C3" s="1">
        <v>200000000000</v>
      </c>
      <c r="D3" s="2">
        <v>1</v>
      </c>
      <c r="E3" s="22">
        <v>5300000000000</v>
      </c>
      <c r="F3" s="19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162</v>
      </c>
      <c r="B4" s="1">
        <v>1100000000000</v>
      </c>
      <c r="C4" s="1">
        <v>200000000000</v>
      </c>
      <c r="D4" s="2">
        <v>1</v>
      </c>
      <c r="E4" s="27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163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4">
        <v>330000000000</v>
      </c>
      <c r="H5" s="17">
        <v>-1.2</v>
      </c>
      <c r="I5" s="2">
        <v>2</v>
      </c>
    </row>
    <row r="6" spans="1:9">
      <c r="A6" s="2" t="s">
        <v>164</v>
      </c>
      <c r="B6" s="4">
        <v>1200000000000</v>
      </c>
      <c r="C6" s="1">
        <v>200000000000</v>
      </c>
      <c r="D6" s="2">
        <v>1</v>
      </c>
      <c r="E6" s="22">
        <v>5300000000000</v>
      </c>
      <c r="F6" s="19">
        <v>2</v>
      </c>
      <c r="G6" s="24">
        <v>330000000000</v>
      </c>
      <c r="H6" s="17">
        <v>-1.2</v>
      </c>
      <c r="I6" s="2">
        <v>2</v>
      </c>
    </row>
    <row r="7" spans="1:9">
      <c r="A7" s="2" t="s">
        <v>165</v>
      </c>
      <c r="B7" s="4">
        <v>1200000000000</v>
      </c>
      <c r="C7" s="1">
        <v>200000000000</v>
      </c>
      <c r="D7" s="2">
        <v>1</v>
      </c>
      <c r="E7" s="27">
        <v>5400000000000</v>
      </c>
      <c r="F7" s="20">
        <v>3</v>
      </c>
      <c r="G7" s="24">
        <v>330000000000</v>
      </c>
      <c r="H7" s="17">
        <v>-1.2</v>
      </c>
      <c r="I7" s="2">
        <v>2</v>
      </c>
    </row>
    <row r="8" spans="1:9">
      <c r="A8" s="2" t="s">
        <v>166</v>
      </c>
      <c r="B8" s="4">
        <v>1200000000000</v>
      </c>
      <c r="C8" s="1">
        <v>200000000000</v>
      </c>
      <c r="D8" s="2">
        <v>1</v>
      </c>
      <c r="E8" s="23">
        <v>5400000000000</v>
      </c>
      <c r="F8" s="2">
        <v>1</v>
      </c>
      <c r="G8" s="24">
        <v>330000000000</v>
      </c>
      <c r="H8" s="18">
        <v>-1.3</v>
      </c>
      <c r="I8" s="2">
        <v>2</v>
      </c>
    </row>
    <row r="9" spans="1:9">
      <c r="A9" s="2" t="s">
        <v>167</v>
      </c>
      <c r="B9" s="4">
        <v>1300000000000</v>
      </c>
      <c r="C9" s="25">
        <v>300000000000</v>
      </c>
      <c r="D9" s="2">
        <v>1</v>
      </c>
      <c r="E9" s="1">
        <v>5200000000000</v>
      </c>
      <c r="F9" s="19">
        <v>2</v>
      </c>
      <c r="G9" s="24">
        <v>330000000000</v>
      </c>
      <c r="H9" s="18">
        <v>-1.3</v>
      </c>
      <c r="I9" s="2">
        <v>2</v>
      </c>
    </row>
    <row r="10" spans="1:9">
      <c r="A10" s="2" t="s">
        <v>168</v>
      </c>
      <c r="B10" s="4">
        <v>1300000000000</v>
      </c>
      <c r="C10" s="25">
        <v>300000000000</v>
      </c>
      <c r="D10" s="2">
        <v>1</v>
      </c>
      <c r="E10" s="22">
        <v>5300000000000</v>
      </c>
      <c r="F10" s="20">
        <v>3</v>
      </c>
      <c r="G10" s="24">
        <v>330000000000</v>
      </c>
      <c r="H10" s="18">
        <v>-1.3</v>
      </c>
      <c r="I10" s="2">
        <v>2</v>
      </c>
    </row>
    <row r="11" spans="1:9">
      <c r="A11" s="2" t="s">
        <v>169</v>
      </c>
      <c r="B11" s="4">
        <v>1300000000000</v>
      </c>
      <c r="C11" s="25">
        <v>300000000000</v>
      </c>
      <c r="D11" s="2">
        <v>1</v>
      </c>
      <c r="E11" s="27">
        <v>5400000000000</v>
      </c>
      <c r="F11" s="2">
        <v>1</v>
      </c>
      <c r="G11" s="24">
        <v>330000000000</v>
      </c>
      <c r="H11" s="18">
        <v>-1.3</v>
      </c>
      <c r="I11" s="2">
        <v>2</v>
      </c>
    </row>
    <row r="12" spans="1:9">
      <c r="A12" s="2" t="s">
        <v>170</v>
      </c>
      <c r="B12" s="4">
        <v>1300000000000</v>
      </c>
      <c r="C12" s="25">
        <v>300000000000</v>
      </c>
      <c r="D12" s="2">
        <v>1</v>
      </c>
      <c r="E12" s="1">
        <v>5200000000000</v>
      </c>
      <c r="F12" s="19">
        <v>2</v>
      </c>
      <c r="G12" s="26">
        <v>360000000000</v>
      </c>
      <c r="H12" s="18">
        <v>-1.3</v>
      </c>
      <c r="I12" s="2">
        <v>2</v>
      </c>
    </row>
    <row r="13" spans="1:9">
      <c r="A13" s="2" t="s">
        <v>171</v>
      </c>
      <c r="B13" s="4">
        <v>1400000000000</v>
      </c>
      <c r="C13" s="25">
        <v>300000000000</v>
      </c>
      <c r="D13" s="2">
        <v>1</v>
      </c>
      <c r="E13" s="22">
        <v>5300000000000</v>
      </c>
      <c r="F13" s="20">
        <v>3</v>
      </c>
      <c r="G13" s="26">
        <v>360000000000</v>
      </c>
      <c r="H13" s="18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H7"/>
  <sheetViews>
    <sheetView zoomScale="70" zoomScaleNormal="70" workbookViewId="0">
      <selection activeCell="L25" sqref="L25"/>
    </sheetView>
  </sheetViews>
  <sheetFormatPr defaultRowHeight="18.75"/>
  <sheetData>
    <row r="1" spans="1:8">
      <c r="A1" t="s">
        <v>194</v>
      </c>
      <c r="D1" t="s">
        <v>129</v>
      </c>
    </row>
    <row r="2" spans="1:8">
      <c r="A2" t="s">
        <v>119</v>
      </c>
    </row>
    <row r="3" spans="1:8">
      <c r="A3" t="s">
        <v>109</v>
      </c>
      <c r="D3" t="s">
        <v>119</v>
      </c>
      <c r="E3" t="s">
        <v>109</v>
      </c>
      <c r="F3" t="s">
        <v>111</v>
      </c>
      <c r="G3" t="s">
        <v>112</v>
      </c>
      <c r="H3" t="s">
        <v>113</v>
      </c>
    </row>
    <row r="4" spans="1:8">
      <c r="A4" t="s">
        <v>111</v>
      </c>
      <c r="D4">
        <v>1100000000000</v>
      </c>
      <c r="E4">
        <v>200000000000</v>
      </c>
      <c r="F4">
        <v>5200000000000</v>
      </c>
      <c r="G4">
        <v>1</v>
      </c>
      <c r="H4">
        <v>311000000000</v>
      </c>
    </row>
    <row r="5" spans="1:8">
      <c r="A5" t="s">
        <v>112</v>
      </c>
      <c r="D5">
        <v>1200000000000</v>
      </c>
      <c r="E5">
        <v>300000000000</v>
      </c>
      <c r="F5">
        <v>5300000000000</v>
      </c>
      <c r="G5">
        <v>2</v>
      </c>
      <c r="H5">
        <v>330000000000</v>
      </c>
    </row>
    <row r="6" spans="1:8">
      <c r="A6" t="s">
        <v>113</v>
      </c>
      <c r="D6">
        <v>1300000000000</v>
      </c>
      <c r="F6">
        <v>5400000000000</v>
      </c>
      <c r="G6">
        <v>3</v>
      </c>
      <c r="H6">
        <v>360000000000</v>
      </c>
    </row>
    <row r="7" spans="1:8">
      <c r="A7" t="s">
        <v>114</v>
      </c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Y34"/>
  <sheetViews>
    <sheetView zoomScale="70" zoomScaleNormal="70" workbookViewId="0">
      <selection activeCell="F1" sqref="F1:Q16"/>
    </sheetView>
  </sheetViews>
  <sheetFormatPr defaultRowHeight="18.75"/>
  <sheetData>
    <row r="1" spans="1:21">
      <c r="B1" t="s">
        <v>132</v>
      </c>
      <c r="C1" t="s">
        <v>132</v>
      </c>
      <c r="D1" t="s">
        <v>132</v>
      </c>
      <c r="E1" t="s">
        <v>133</v>
      </c>
      <c r="F1" s="5" t="s">
        <v>27</v>
      </c>
      <c r="G1" t="s">
        <v>30</v>
      </c>
      <c r="H1" t="s">
        <v>35</v>
      </c>
      <c r="I1" t="s">
        <v>30</v>
      </c>
      <c r="J1" t="s">
        <v>128</v>
      </c>
      <c r="M1" t="s">
        <v>189</v>
      </c>
    </row>
    <row r="2" spans="1:21">
      <c r="A2" s="2" t="s">
        <v>12</v>
      </c>
      <c r="B2" s="2" t="s">
        <v>108</v>
      </c>
      <c r="C2" s="2" t="s">
        <v>109</v>
      </c>
      <c r="D2" s="2" t="s">
        <v>113</v>
      </c>
      <c r="E2" s="2" t="s">
        <v>111</v>
      </c>
      <c r="F2" s="5" t="s">
        <v>82</v>
      </c>
      <c r="G2" t="s">
        <v>29</v>
      </c>
      <c r="H2" t="s">
        <v>38</v>
      </c>
      <c r="I2" t="s">
        <v>41</v>
      </c>
      <c r="J2" t="s">
        <v>92</v>
      </c>
    </row>
    <row r="3" spans="1:21">
      <c r="A3" s="2" t="s">
        <v>130</v>
      </c>
      <c r="B3" s="33" t="s">
        <v>120</v>
      </c>
      <c r="C3" s="33" t="s">
        <v>120</v>
      </c>
      <c r="D3" s="33" t="s">
        <v>120</v>
      </c>
      <c r="E3" s="33" t="s">
        <v>120</v>
      </c>
      <c r="F3" s="5" t="s">
        <v>21</v>
      </c>
      <c r="G3" t="s">
        <v>69</v>
      </c>
      <c r="H3" t="s">
        <v>7</v>
      </c>
      <c r="I3" s="21" t="s">
        <v>5</v>
      </c>
      <c r="J3" t="s">
        <v>83</v>
      </c>
      <c r="M3" t="s">
        <v>134</v>
      </c>
      <c r="N3" t="s">
        <v>132</v>
      </c>
      <c r="O3" t="s">
        <v>132</v>
      </c>
      <c r="P3" t="s">
        <v>132</v>
      </c>
      <c r="Q3" t="s">
        <v>133</v>
      </c>
      <c r="R3" t="s">
        <v>135</v>
      </c>
      <c r="S3" t="s">
        <v>136</v>
      </c>
      <c r="T3" t="s">
        <v>135</v>
      </c>
      <c r="U3" t="s">
        <v>137</v>
      </c>
    </row>
    <row r="4" spans="1:21">
      <c r="A4" s="2" t="s">
        <v>131</v>
      </c>
      <c r="B4" s="33" t="s">
        <v>120</v>
      </c>
      <c r="C4" s="33" t="s">
        <v>120</v>
      </c>
      <c r="D4" s="33" t="s">
        <v>120</v>
      </c>
      <c r="E4" s="33" t="s">
        <v>120</v>
      </c>
      <c r="F4" s="5" t="s">
        <v>28</v>
      </c>
      <c r="G4" t="s">
        <v>33</v>
      </c>
      <c r="H4" t="s">
        <v>79</v>
      </c>
      <c r="I4" t="s">
        <v>33</v>
      </c>
      <c r="J4" t="s">
        <v>128</v>
      </c>
      <c r="M4" t="s">
        <v>138</v>
      </c>
      <c r="N4" t="s">
        <v>119</v>
      </c>
      <c r="O4" t="s">
        <v>109</v>
      </c>
      <c r="P4" t="s">
        <v>113</v>
      </c>
      <c r="Q4" t="s">
        <v>111</v>
      </c>
      <c r="R4" t="s">
        <v>68</v>
      </c>
      <c r="S4" t="s">
        <v>74</v>
      </c>
      <c r="T4" t="s">
        <v>84</v>
      </c>
      <c r="U4" t="s">
        <v>85</v>
      </c>
    </row>
    <row r="5" spans="1:21">
      <c r="A5" s="2" t="s">
        <v>160</v>
      </c>
      <c r="B5" s="1">
        <v>1100000000000</v>
      </c>
      <c r="C5" s="1">
        <v>200000000000</v>
      </c>
      <c r="D5">
        <v>311000000000</v>
      </c>
      <c r="E5" s="1">
        <v>5200000000000</v>
      </c>
      <c r="F5" t="s">
        <v>15</v>
      </c>
      <c r="G5" s="1">
        <v>0.64900000000000002</v>
      </c>
      <c r="H5" s="1">
        <v>2.33</v>
      </c>
      <c r="I5" s="1">
        <v>2.29</v>
      </c>
      <c r="J5" s="1">
        <v>0.4</v>
      </c>
      <c r="M5" t="s">
        <v>15</v>
      </c>
      <c r="N5">
        <v>1100000000000</v>
      </c>
      <c r="O5">
        <v>200000000000</v>
      </c>
      <c r="P5">
        <v>311000000000</v>
      </c>
      <c r="Q5">
        <v>5200000000000</v>
      </c>
      <c r="R5">
        <v>0.64900000000000002</v>
      </c>
      <c r="S5">
        <v>2.33</v>
      </c>
      <c r="T5">
        <v>2.29</v>
      </c>
      <c r="U5">
        <v>0.4</v>
      </c>
    </row>
    <row r="6" spans="1:21">
      <c r="A6" s="2" t="s">
        <v>161</v>
      </c>
      <c r="B6" s="1">
        <v>1100000000000</v>
      </c>
      <c r="C6" s="1">
        <v>200000000000</v>
      </c>
      <c r="D6">
        <v>311000000000</v>
      </c>
      <c r="E6" s="22">
        <v>5300000000000</v>
      </c>
      <c r="F6" t="s">
        <v>16</v>
      </c>
      <c r="G6" s="1">
        <v>0.65100000000000002</v>
      </c>
      <c r="H6" s="1">
        <v>2.23</v>
      </c>
      <c r="I6" s="1">
        <v>2.31</v>
      </c>
      <c r="J6" s="1">
        <v>0.40100000000000002</v>
      </c>
      <c r="M6" t="s">
        <v>16</v>
      </c>
      <c r="N6">
        <v>1100000000000</v>
      </c>
      <c r="O6">
        <v>200000000000</v>
      </c>
      <c r="P6">
        <v>311000000000</v>
      </c>
      <c r="Q6">
        <v>5300000000000</v>
      </c>
      <c r="R6">
        <v>0.65100000000000002</v>
      </c>
      <c r="S6">
        <v>2.23</v>
      </c>
      <c r="T6">
        <v>2.31</v>
      </c>
      <c r="U6">
        <v>0.40100000000000002</v>
      </c>
    </row>
    <row r="7" spans="1:21">
      <c r="A7" s="2" t="s">
        <v>162</v>
      </c>
      <c r="B7" s="1">
        <v>1100000000000</v>
      </c>
      <c r="C7" s="1">
        <v>200000000000</v>
      </c>
      <c r="D7">
        <v>311000000000</v>
      </c>
      <c r="E7" s="27">
        <v>5400000000000</v>
      </c>
      <c r="F7" t="s">
        <v>17</v>
      </c>
      <c r="G7" s="1">
        <v>0.65300000000000002</v>
      </c>
      <c r="H7" s="1">
        <v>2.13</v>
      </c>
      <c r="I7" s="1">
        <v>2.33</v>
      </c>
      <c r="J7" s="1">
        <v>0.39800000000000002</v>
      </c>
      <c r="M7" t="s">
        <v>17</v>
      </c>
      <c r="N7">
        <v>1100000000000</v>
      </c>
      <c r="O7">
        <v>200000000000</v>
      </c>
      <c r="P7">
        <v>311000000000</v>
      </c>
      <c r="Q7">
        <v>5400000000000</v>
      </c>
      <c r="R7">
        <v>0.65300000000000002</v>
      </c>
      <c r="S7">
        <v>2.13</v>
      </c>
      <c r="T7">
        <v>2.33</v>
      </c>
      <c r="U7">
        <v>0.39800000000000002</v>
      </c>
    </row>
    <row r="8" spans="1:21">
      <c r="A8" s="2" t="s">
        <v>163</v>
      </c>
      <c r="B8" s="4">
        <v>1200000000000</v>
      </c>
      <c r="C8" s="1">
        <v>200000000000</v>
      </c>
      <c r="D8" s="24">
        <v>330000000000</v>
      </c>
      <c r="E8" s="1">
        <v>5200000000000</v>
      </c>
      <c r="F8" t="s">
        <v>18</v>
      </c>
      <c r="G8" s="1">
        <v>0.65500000000000003</v>
      </c>
      <c r="H8" s="1">
        <v>2.0299999999999998</v>
      </c>
      <c r="I8" s="1">
        <v>2.35</v>
      </c>
      <c r="J8" s="1">
        <v>0.397666666666667</v>
      </c>
      <c r="M8" t="s">
        <v>18</v>
      </c>
      <c r="N8">
        <v>1200000000000</v>
      </c>
      <c r="O8">
        <v>200000000000</v>
      </c>
      <c r="P8">
        <v>330000000000</v>
      </c>
      <c r="Q8">
        <v>5200000000000</v>
      </c>
      <c r="R8">
        <v>0.65500000000000003</v>
      </c>
      <c r="S8">
        <v>2.0299999999999998</v>
      </c>
      <c r="T8">
        <v>2.35</v>
      </c>
      <c r="U8">
        <v>0.397666666666667</v>
      </c>
    </row>
    <row r="9" spans="1:21">
      <c r="A9" s="2" t="s">
        <v>164</v>
      </c>
      <c r="B9" s="4">
        <v>1200000000000</v>
      </c>
      <c r="C9" s="1">
        <v>200000000000</v>
      </c>
      <c r="D9" s="24">
        <v>330000000000</v>
      </c>
      <c r="E9" s="22">
        <v>5300000000000</v>
      </c>
      <c r="F9" t="s">
        <v>19</v>
      </c>
      <c r="G9" s="1">
        <v>0.65700000000000003</v>
      </c>
      <c r="H9" s="1">
        <v>1.93</v>
      </c>
      <c r="I9" s="1">
        <v>2.37</v>
      </c>
      <c r="J9" s="1">
        <v>0.396666666666667</v>
      </c>
      <c r="M9" t="s">
        <v>19</v>
      </c>
      <c r="N9">
        <v>1200000000000</v>
      </c>
      <c r="O9">
        <v>200000000000</v>
      </c>
      <c r="P9">
        <v>330000000000</v>
      </c>
      <c r="Q9">
        <v>5300000000000</v>
      </c>
      <c r="R9">
        <v>0.65700000000000003</v>
      </c>
      <c r="S9">
        <v>1.93</v>
      </c>
      <c r="T9">
        <v>2.37</v>
      </c>
      <c r="U9">
        <v>0.396666666666667</v>
      </c>
    </row>
    <row r="10" spans="1:21">
      <c r="A10" s="2" t="s">
        <v>165</v>
      </c>
      <c r="B10" s="4">
        <v>1200000000000</v>
      </c>
      <c r="C10" s="1">
        <v>200000000000</v>
      </c>
      <c r="D10" s="24">
        <v>330000000000</v>
      </c>
      <c r="E10" s="27">
        <v>5400000000000</v>
      </c>
      <c r="F10" t="s">
        <v>20</v>
      </c>
      <c r="G10" s="1">
        <v>0.65900000000000003</v>
      </c>
      <c r="H10" s="1">
        <v>1.83</v>
      </c>
      <c r="I10" s="1">
        <v>2.39</v>
      </c>
      <c r="J10" s="1">
        <v>0.395666666666667</v>
      </c>
      <c r="M10" t="s">
        <v>20</v>
      </c>
      <c r="N10">
        <v>1200000000000</v>
      </c>
      <c r="O10">
        <v>200000000000</v>
      </c>
      <c r="P10">
        <v>330000000000</v>
      </c>
      <c r="Q10">
        <v>5400000000000</v>
      </c>
      <c r="R10">
        <v>0.65900000000000003</v>
      </c>
      <c r="S10">
        <v>1.83</v>
      </c>
      <c r="T10">
        <v>2.39</v>
      </c>
      <c r="U10">
        <v>0.395666666666667</v>
      </c>
    </row>
    <row r="11" spans="1:21">
      <c r="A11" s="2" t="s">
        <v>166</v>
      </c>
      <c r="B11" s="4">
        <v>1200000000000</v>
      </c>
      <c r="C11" s="1">
        <v>200000000000</v>
      </c>
      <c r="D11" s="24">
        <v>330000000000</v>
      </c>
      <c r="E11" s="23">
        <v>5400000000000</v>
      </c>
      <c r="F11" t="s">
        <v>86</v>
      </c>
      <c r="G11" s="1">
        <v>0.66100000000000003</v>
      </c>
      <c r="H11" s="1">
        <v>1.73</v>
      </c>
      <c r="I11" s="1">
        <v>2.41</v>
      </c>
      <c r="J11" s="1">
        <v>0.394666666666667</v>
      </c>
      <c r="M11" t="s">
        <v>86</v>
      </c>
      <c r="N11">
        <v>1200000000000</v>
      </c>
      <c r="O11">
        <v>200000000000</v>
      </c>
      <c r="P11">
        <v>330000000000</v>
      </c>
      <c r="Q11">
        <v>5400000000000</v>
      </c>
      <c r="R11">
        <v>0.66100000000000003</v>
      </c>
      <c r="S11">
        <v>1.73</v>
      </c>
      <c r="T11">
        <v>2.41</v>
      </c>
      <c r="U11">
        <v>0.394666666666667</v>
      </c>
    </row>
    <row r="12" spans="1:21">
      <c r="A12" s="2" t="s">
        <v>167</v>
      </c>
      <c r="B12" s="4">
        <v>1300000000000</v>
      </c>
      <c r="C12" s="25">
        <v>300000000000</v>
      </c>
      <c r="D12" s="24">
        <v>330000000000</v>
      </c>
      <c r="E12" s="1">
        <v>5200000000000</v>
      </c>
      <c r="F12" t="s">
        <v>87</v>
      </c>
      <c r="G12" s="1">
        <v>0.66300000000000003</v>
      </c>
      <c r="H12" s="1">
        <v>1.63</v>
      </c>
      <c r="I12" s="1">
        <v>2.4300000000000002</v>
      </c>
      <c r="J12" s="1">
        <v>0.393666666666667</v>
      </c>
      <c r="M12" t="s">
        <v>87</v>
      </c>
      <c r="N12">
        <v>1300000000000</v>
      </c>
      <c r="O12">
        <v>300000000000</v>
      </c>
      <c r="P12">
        <v>330000000000</v>
      </c>
      <c r="Q12">
        <v>5200000000000</v>
      </c>
      <c r="R12">
        <v>0.66300000000000003</v>
      </c>
      <c r="S12">
        <v>1.63</v>
      </c>
      <c r="T12">
        <v>2.4300000000000002</v>
      </c>
      <c r="U12">
        <v>0.393666666666667</v>
      </c>
    </row>
    <row r="13" spans="1:21">
      <c r="A13" s="2" t="s">
        <v>168</v>
      </c>
      <c r="B13" s="4">
        <v>1300000000000</v>
      </c>
      <c r="C13" s="25">
        <v>300000000000</v>
      </c>
      <c r="D13" s="24">
        <v>330000000000</v>
      </c>
      <c r="E13" s="22">
        <v>5300000000000</v>
      </c>
      <c r="F13" t="s">
        <v>93</v>
      </c>
      <c r="G13" s="1">
        <v>0.66500000000000004</v>
      </c>
      <c r="H13" s="1">
        <v>1.53</v>
      </c>
      <c r="I13" s="1">
        <v>2.4500000000000002</v>
      </c>
      <c r="J13" s="1">
        <v>0.392666666666667</v>
      </c>
      <c r="M13" t="s">
        <v>93</v>
      </c>
      <c r="N13">
        <v>1300000000000</v>
      </c>
      <c r="O13">
        <v>300000000000</v>
      </c>
      <c r="P13">
        <v>330000000000</v>
      </c>
      <c r="Q13">
        <v>5300000000000</v>
      </c>
      <c r="R13">
        <v>0.66500000000000004</v>
      </c>
      <c r="S13">
        <v>1.53</v>
      </c>
      <c r="T13">
        <v>2.4500000000000002</v>
      </c>
      <c r="U13">
        <v>0.392666666666667</v>
      </c>
    </row>
    <row r="14" spans="1:21">
      <c r="A14" s="2" t="s">
        <v>169</v>
      </c>
      <c r="B14" s="4">
        <v>1300000000000</v>
      </c>
      <c r="C14" s="25">
        <v>300000000000</v>
      </c>
      <c r="D14" s="24">
        <v>330000000000</v>
      </c>
      <c r="E14" s="27">
        <v>5400000000000</v>
      </c>
      <c r="F14" t="s">
        <v>94</v>
      </c>
      <c r="G14" s="1">
        <v>0.66700000000000004</v>
      </c>
      <c r="H14" s="1">
        <v>1.43</v>
      </c>
      <c r="I14" s="1">
        <v>2.4700000000000002</v>
      </c>
      <c r="J14" s="1">
        <v>0.391666666666667</v>
      </c>
      <c r="M14" t="s">
        <v>94</v>
      </c>
      <c r="N14">
        <v>1300000000000</v>
      </c>
      <c r="O14">
        <v>300000000000</v>
      </c>
      <c r="P14">
        <v>330000000000</v>
      </c>
      <c r="Q14">
        <v>5400000000000</v>
      </c>
      <c r="R14">
        <v>0.66700000000000004</v>
      </c>
      <c r="S14">
        <v>1.43</v>
      </c>
      <c r="T14">
        <v>2.4700000000000002</v>
      </c>
      <c r="U14">
        <v>0.391666666666667</v>
      </c>
    </row>
    <row r="15" spans="1:21">
      <c r="A15" s="2" t="s">
        <v>170</v>
      </c>
      <c r="B15" s="4">
        <v>1300000000000</v>
      </c>
      <c r="C15" s="25">
        <v>300000000000</v>
      </c>
      <c r="D15" s="26">
        <v>360000000000</v>
      </c>
      <c r="E15" s="1">
        <v>5200000000000</v>
      </c>
      <c r="F15" t="s">
        <v>95</v>
      </c>
      <c r="G15" s="1">
        <v>0.66900000000000004</v>
      </c>
      <c r="H15" s="1">
        <v>1.33</v>
      </c>
      <c r="I15" s="1">
        <v>2.4900000000000002</v>
      </c>
      <c r="J15" s="1">
        <v>0.390666666666667</v>
      </c>
      <c r="M15" t="s">
        <v>95</v>
      </c>
      <c r="N15">
        <v>1300000000000</v>
      </c>
      <c r="O15">
        <v>300000000000</v>
      </c>
      <c r="P15">
        <v>360000000000</v>
      </c>
      <c r="Q15">
        <v>5200000000000</v>
      </c>
      <c r="R15">
        <v>0.66900000000000004</v>
      </c>
      <c r="S15">
        <v>1.33</v>
      </c>
      <c r="T15">
        <v>2.4900000000000002</v>
      </c>
      <c r="U15">
        <v>0.390666666666667</v>
      </c>
    </row>
    <row r="16" spans="1:21">
      <c r="A16" s="2" t="s">
        <v>171</v>
      </c>
      <c r="B16" s="4">
        <v>1400000000000</v>
      </c>
      <c r="C16" s="25">
        <v>300000000000</v>
      </c>
      <c r="D16" s="26">
        <v>360000000000</v>
      </c>
      <c r="E16" s="22">
        <v>5300000000000</v>
      </c>
      <c r="F16" t="s">
        <v>96</v>
      </c>
      <c r="G16" s="1">
        <v>0.67100000000000004</v>
      </c>
      <c r="H16" s="1">
        <v>1.23</v>
      </c>
      <c r="I16" s="1">
        <v>2.5099999999999998</v>
      </c>
      <c r="J16" s="1">
        <v>0.38966666666666699</v>
      </c>
      <c r="M16" t="s">
        <v>96</v>
      </c>
      <c r="N16">
        <v>1400000000000</v>
      </c>
      <c r="O16">
        <v>300000000000</v>
      </c>
      <c r="P16">
        <v>360000000000</v>
      </c>
      <c r="Q16">
        <v>5300000000000</v>
      </c>
      <c r="R16">
        <v>0.67100000000000004</v>
      </c>
      <c r="S16">
        <v>1.23</v>
      </c>
      <c r="T16">
        <v>2.5099999999999998</v>
      </c>
      <c r="U16">
        <v>0.38966666666666699</v>
      </c>
    </row>
    <row r="21" spans="13:25">
      <c r="M21" t="s">
        <v>134</v>
      </c>
      <c r="N21" t="s">
        <v>132</v>
      </c>
      <c r="O21" t="s">
        <v>132</v>
      </c>
      <c r="P21" t="s">
        <v>132</v>
      </c>
      <c r="Q21" t="s">
        <v>133</v>
      </c>
      <c r="R21" t="s">
        <v>135</v>
      </c>
      <c r="S21" t="s">
        <v>136</v>
      </c>
      <c r="T21" t="s">
        <v>135</v>
      </c>
      <c r="U21" t="s">
        <v>137</v>
      </c>
      <c r="V21" t="s">
        <v>139</v>
      </c>
      <c r="W21" t="s">
        <v>139</v>
      </c>
      <c r="X21" t="s">
        <v>139</v>
      </c>
      <c r="Y21" t="s">
        <v>139</v>
      </c>
    </row>
    <row r="22" spans="13:25">
      <c r="M22" t="s">
        <v>138</v>
      </c>
      <c r="N22" t="s">
        <v>119</v>
      </c>
      <c r="O22" t="s">
        <v>109</v>
      </c>
      <c r="P22" t="s">
        <v>113</v>
      </c>
      <c r="Q22" t="s">
        <v>111</v>
      </c>
      <c r="R22" t="s">
        <v>68</v>
      </c>
      <c r="S22" t="s">
        <v>74</v>
      </c>
      <c r="T22" t="s">
        <v>84</v>
      </c>
      <c r="U22" t="s">
        <v>85</v>
      </c>
      <c r="V22" t="s">
        <v>190</v>
      </c>
      <c r="W22" t="s">
        <v>191</v>
      </c>
      <c r="X22" t="s">
        <v>192</v>
      </c>
      <c r="Y22" t="s">
        <v>193</v>
      </c>
    </row>
    <row r="23" spans="13:25">
      <c r="M23" t="s">
        <v>15</v>
      </c>
      <c r="N23">
        <v>1100000000000</v>
      </c>
      <c r="O23">
        <v>200000000000</v>
      </c>
      <c r="P23">
        <v>311000000000</v>
      </c>
      <c r="Q23">
        <v>5200000000000</v>
      </c>
      <c r="R23">
        <v>0.64900000000000002</v>
      </c>
      <c r="S23">
        <v>2.33</v>
      </c>
      <c r="T23">
        <v>2.29</v>
      </c>
      <c r="U23">
        <v>0.4</v>
      </c>
      <c r="V23">
        <v>1</v>
      </c>
      <c r="W23">
        <v>0</v>
      </c>
      <c r="X23">
        <v>0</v>
      </c>
      <c r="Y23">
        <v>0</v>
      </c>
    </row>
    <row r="24" spans="13:25">
      <c r="M24" t="s">
        <v>16</v>
      </c>
      <c r="N24">
        <v>1100000000000</v>
      </c>
      <c r="O24">
        <v>200000000000</v>
      </c>
      <c r="P24">
        <v>311000000000</v>
      </c>
      <c r="Q24">
        <v>5300000000000</v>
      </c>
      <c r="R24">
        <v>0.65100000000000002</v>
      </c>
      <c r="S24">
        <v>2.23</v>
      </c>
      <c r="T24">
        <v>2.31</v>
      </c>
      <c r="U24">
        <v>0.40100000000000002</v>
      </c>
      <c r="V24">
        <v>1</v>
      </c>
      <c r="W24">
        <v>0</v>
      </c>
      <c r="X24">
        <v>0</v>
      </c>
      <c r="Y24">
        <v>0</v>
      </c>
    </row>
    <row r="25" spans="13:25">
      <c r="M25" t="s">
        <v>17</v>
      </c>
      <c r="N25">
        <v>1100000000000</v>
      </c>
      <c r="O25">
        <v>200000000000</v>
      </c>
      <c r="P25">
        <v>311000000000</v>
      </c>
      <c r="Q25">
        <v>5400000000000</v>
      </c>
      <c r="R25">
        <v>0.65300000000000002</v>
      </c>
      <c r="S25">
        <v>2.13</v>
      </c>
      <c r="T25">
        <v>2.33</v>
      </c>
      <c r="U25">
        <v>0.39800000000000002</v>
      </c>
      <c r="V25">
        <v>1</v>
      </c>
      <c r="W25">
        <v>0</v>
      </c>
      <c r="X25">
        <v>0</v>
      </c>
      <c r="Y25">
        <v>0</v>
      </c>
    </row>
    <row r="26" spans="13:25">
      <c r="M26" t="s">
        <v>18</v>
      </c>
      <c r="N26">
        <v>1200000000000</v>
      </c>
      <c r="O26">
        <v>200000000000</v>
      </c>
      <c r="P26">
        <v>330000000000</v>
      </c>
      <c r="Q26">
        <v>5200000000000</v>
      </c>
      <c r="R26">
        <v>0.65500000000000003</v>
      </c>
      <c r="S26">
        <v>2.0299999999999998</v>
      </c>
      <c r="T26">
        <v>2.35</v>
      </c>
      <c r="U26">
        <v>0.397666666666667</v>
      </c>
      <c r="V26">
        <v>0</v>
      </c>
      <c r="W26">
        <v>0</v>
      </c>
      <c r="X26">
        <v>0</v>
      </c>
      <c r="Y26">
        <v>1</v>
      </c>
    </row>
    <row r="27" spans="13:25">
      <c r="M27" t="s">
        <v>19</v>
      </c>
      <c r="N27">
        <v>1200000000000</v>
      </c>
      <c r="O27">
        <v>200000000000</v>
      </c>
      <c r="P27">
        <v>330000000000</v>
      </c>
      <c r="Q27">
        <v>5300000000000</v>
      </c>
      <c r="R27">
        <v>0.65700000000000003</v>
      </c>
      <c r="S27">
        <v>1.93</v>
      </c>
      <c r="T27">
        <v>2.37</v>
      </c>
      <c r="U27">
        <v>0.396666666666667</v>
      </c>
      <c r="V27">
        <v>0</v>
      </c>
      <c r="W27">
        <v>0</v>
      </c>
      <c r="X27">
        <v>0</v>
      </c>
      <c r="Y27">
        <v>1</v>
      </c>
    </row>
    <row r="28" spans="13:25">
      <c r="M28" t="s">
        <v>20</v>
      </c>
      <c r="N28">
        <v>1200000000000</v>
      </c>
      <c r="O28">
        <v>200000000000</v>
      </c>
      <c r="P28">
        <v>330000000000</v>
      </c>
      <c r="Q28">
        <v>5400000000000</v>
      </c>
      <c r="R28">
        <v>0.65900000000000003</v>
      </c>
      <c r="S28">
        <v>1.83</v>
      </c>
      <c r="T28">
        <v>2.39</v>
      </c>
      <c r="U28">
        <v>0.395666666666667</v>
      </c>
      <c r="V28">
        <v>0</v>
      </c>
      <c r="W28">
        <v>0</v>
      </c>
      <c r="X28">
        <v>0</v>
      </c>
      <c r="Y28">
        <v>1</v>
      </c>
    </row>
    <row r="29" spans="13:25">
      <c r="M29" t="s">
        <v>86</v>
      </c>
      <c r="N29">
        <v>1200000000000</v>
      </c>
      <c r="O29">
        <v>200000000000</v>
      </c>
      <c r="P29">
        <v>330000000000</v>
      </c>
      <c r="Q29">
        <v>5400000000000</v>
      </c>
      <c r="R29">
        <v>0.66100000000000003</v>
      </c>
      <c r="S29">
        <v>1.73</v>
      </c>
      <c r="T29">
        <v>2.41</v>
      </c>
      <c r="U29">
        <v>0.394666666666667</v>
      </c>
      <c r="V29">
        <v>0</v>
      </c>
      <c r="W29">
        <v>0</v>
      </c>
      <c r="X29">
        <v>0</v>
      </c>
      <c r="Y29">
        <v>1</v>
      </c>
    </row>
    <row r="30" spans="13:25">
      <c r="M30" t="s">
        <v>87</v>
      </c>
      <c r="N30">
        <v>1300000000000</v>
      </c>
      <c r="O30">
        <v>300000000000</v>
      </c>
      <c r="P30">
        <v>330000000000</v>
      </c>
      <c r="Q30">
        <v>5200000000000</v>
      </c>
      <c r="R30">
        <v>0.66300000000000003</v>
      </c>
      <c r="S30">
        <v>1.63</v>
      </c>
      <c r="T30">
        <v>2.4300000000000002</v>
      </c>
      <c r="U30">
        <v>0.393666666666667</v>
      </c>
      <c r="V30">
        <v>0</v>
      </c>
      <c r="W30">
        <v>0</v>
      </c>
      <c r="X30">
        <v>0</v>
      </c>
      <c r="Y30">
        <v>0</v>
      </c>
    </row>
    <row r="31" spans="13:25">
      <c r="M31" t="s">
        <v>93</v>
      </c>
      <c r="N31">
        <v>1300000000000</v>
      </c>
      <c r="O31">
        <v>300000000000</v>
      </c>
      <c r="P31">
        <v>330000000000</v>
      </c>
      <c r="Q31">
        <v>5300000000000</v>
      </c>
      <c r="R31">
        <v>0.66500000000000004</v>
      </c>
      <c r="S31">
        <v>1.53</v>
      </c>
      <c r="T31">
        <v>2.4500000000000002</v>
      </c>
      <c r="U31">
        <v>0.392666666666667</v>
      </c>
      <c r="V31">
        <v>0</v>
      </c>
      <c r="W31">
        <v>0</v>
      </c>
      <c r="X31">
        <v>0</v>
      </c>
      <c r="Y31">
        <v>0</v>
      </c>
    </row>
    <row r="32" spans="13:25">
      <c r="M32" t="s">
        <v>94</v>
      </c>
      <c r="N32">
        <v>1300000000000</v>
      </c>
      <c r="O32">
        <v>300000000000</v>
      </c>
      <c r="P32">
        <v>330000000000</v>
      </c>
      <c r="Q32">
        <v>5400000000000</v>
      </c>
      <c r="R32">
        <v>0.66700000000000004</v>
      </c>
      <c r="S32">
        <v>1.43</v>
      </c>
      <c r="T32">
        <v>2.4700000000000002</v>
      </c>
      <c r="U32">
        <v>0.391666666666667</v>
      </c>
      <c r="V32">
        <v>0</v>
      </c>
      <c r="W32">
        <v>0</v>
      </c>
      <c r="X32">
        <v>0</v>
      </c>
      <c r="Y32">
        <v>0</v>
      </c>
    </row>
    <row r="33" spans="13:25">
      <c r="M33" t="s">
        <v>95</v>
      </c>
      <c r="N33">
        <v>1300000000000</v>
      </c>
      <c r="O33">
        <v>300000000000</v>
      </c>
      <c r="P33">
        <v>360000000000</v>
      </c>
      <c r="Q33">
        <v>5200000000000</v>
      </c>
      <c r="R33">
        <v>0.66900000000000004</v>
      </c>
      <c r="S33">
        <v>1.33</v>
      </c>
      <c r="T33">
        <v>2.4900000000000002</v>
      </c>
      <c r="U33">
        <v>0.390666666666667</v>
      </c>
      <c r="V33">
        <v>0</v>
      </c>
      <c r="W33">
        <v>0</v>
      </c>
      <c r="X33">
        <v>0</v>
      </c>
      <c r="Y33">
        <v>0</v>
      </c>
    </row>
    <row r="34" spans="13:25">
      <c r="M34" t="s">
        <v>96</v>
      </c>
      <c r="N34">
        <v>1400000000000</v>
      </c>
      <c r="O34">
        <v>300000000000</v>
      </c>
      <c r="P34">
        <v>360000000000</v>
      </c>
      <c r="Q34">
        <v>5300000000000</v>
      </c>
      <c r="R34">
        <v>0.67100000000000004</v>
      </c>
      <c r="S34">
        <v>1.23</v>
      </c>
      <c r="T34">
        <v>2.5099999999999998</v>
      </c>
      <c r="U34">
        <v>0.38966666666666699</v>
      </c>
      <c r="V34">
        <v>0</v>
      </c>
      <c r="W34">
        <v>0</v>
      </c>
      <c r="X34">
        <v>0</v>
      </c>
      <c r="Y34">
        <v>0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A7EEA-1AF9-4BB9-91C3-A41AB34000E1}">
  <sheetPr codeName="Sheet11"/>
  <dimension ref="A1:N16"/>
  <sheetViews>
    <sheetView zoomScaleNormal="100" workbookViewId="0">
      <selection activeCell="H15" sqref="H15"/>
    </sheetView>
  </sheetViews>
  <sheetFormatPr defaultRowHeight="18.75"/>
  <cols>
    <col min="1" max="1" width="9.125" customWidth="1"/>
    <col min="3" max="3" width="10" bestFit="1" customWidth="1"/>
  </cols>
  <sheetData>
    <row r="1" spans="1:14">
      <c r="A1" t="s">
        <v>97</v>
      </c>
      <c r="F1" s="28" t="s">
        <v>125</v>
      </c>
    </row>
    <row r="2" spans="1:14">
      <c r="A2" s="16" t="s">
        <v>122</v>
      </c>
      <c r="B2" s="16" t="s">
        <v>123</v>
      </c>
      <c r="C2" s="16" t="s">
        <v>124</v>
      </c>
    </row>
    <row r="3" spans="1:14">
      <c r="A3" s="14">
        <v>1100000000000</v>
      </c>
      <c r="B3" s="14">
        <v>200000000000</v>
      </c>
      <c r="C3" s="14">
        <v>311000000000</v>
      </c>
      <c r="F3" t="s">
        <v>103</v>
      </c>
    </row>
    <row r="4" spans="1:14">
      <c r="A4" s="14">
        <v>1200000000000</v>
      </c>
      <c r="B4" s="14">
        <v>200000000000</v>
      </c>
      <c r="C4" s="10">
        <v>330000000000</v>
      </c>
      <c r="F4" t="s">
        <v>107</v>
      </c>
      <c r="G4">
        <v>1</v>
      </c>
      <c r="H4">
        <v>2</v>
      </c>
      <c r="I4">
        <v>3</v>
      </c>
      <c r="J4">
        <v>4</v>
      </c>
      <c r="K4">
        <v>5</v>
      </c>
      <c r="L4">
        <v>6</v>
      </c>
      <c r="M4">
        <v>7</v>
      </c>
      <c r="N4">
        <v>8</v>
      </c>
    </row>
    <row r="5" spans="1:14">
      <c r="A5" s="14">
        <v>1300000000000</v>
      </c>
      <c r="B5" s="14">
        <v>300000000000</v>
      </c>
      <c r="C5" s="14">
        <v>330000000000</v>
      </c>
      <c r="F5" t="s">
        <v>102</v>
      </c>
      <c r="G5" t="s">
        <v>98</v>
      </c>
      <c r="H5" t="s">
        <v>99</v>
      </c>
      <c r="I5" t="s">
        <v>100</v>
      </c>
      <c r="J5" t="s">
        <v>101</v>
      </c>
    </row>
    <row r="6" spans="1:14">
      <c r="A6" s="14">
        <v>1300000000000</v>
      </c>
      <c r="B6" s="14">
        <v>300000000000</v>
      </c>
      <c r="C6" s="14">
        <v>360000000000</v>
      </c>
      <c r="F6">
        <v>5200000000000</v>
      </c>
      <c r="G6">
        <v>0.64900000000000002</v>
      </c>
      <c r="H6">
        <v>0.65500000000000003</v>
      </c>
      <c r="I6">
        <v>0.66300000000000003</v>
      </c>
      <c r="J6">
        <v>0.66900000000000004</v>
      </c>
    </row>
    <row r="7" spans="1:14">
      <c r="F7">
        <v>5300000000000</v>
      </c>
      <c r="G7">
        <v>0.65100000000000002</v>
      </c>
      <c r="H7">
        <v>0.65700000000000003</v>
      </c>
      <c r="I7">
        <v>0.66500000000000004</v>
      </c>
      <c r="J7">
        <v>0.67100000000000004</v>
      </c>
    </row>
    <row r="8" spans="1:14">
      <c r="F8">
        <v>5400000000000</v>
      </c>
      <c r="G8">
        <v>0.65300000000000002</v>
      </c>
      <c r="H8">
        <v>0.65900000000000003</v>
      </c>
      <c r="I8">
        <v>0.66700000000000004</v>
      </c>
    </row>
    <row r="9" spans="1:14">
      <c r="F9">
        <v>5500000000000</v>
      </c>
      <c r="H9">
        <v>0.66100000000000003</v>
      </c>
    </row>
    <row r="12" spans="1:14">
      <c r="F12" t="s">
        <v>104</v>
      </c>
      <c r="G12" t="s">
        <v>98</v>
      </c>
      <c r="H12" t="s">
        <v>99</v>
      </c>
      <c r="I12" t="s">
        <v>100</v>
      </c>
      <c r="J12" t="s">
        <v>101</v>
      </c>
      <c r="K12" t="s">
        <v>105</v>
      </c>
      <c r="L12" t="s">
        <v>106</v>
      </c>
    </row>
    <row r="13" spans="1:14">
      <c r="F13">
        <v>5200000000000</v>
      </c>
      <c r="G13">
        <v>0.64900000000000002</v>
      </c>
      <c r="H13">
        <v>0.65500000000000003</v>
      </c>
      <c r="I13">
        <v>0.66300000000000003</v>
      </c>
      <c r="J13">
        <v>0.66900000000000004</v>
      </c>
      <c r="K13">
        <v>0.66900000000000004</v>
      </c>
      <c r="L13">
        <v>0.66900000000000004</v>
      </c>
    </row>
    <row r="14" spans="1:14">
      <c r="F14">
        <v>5300000000000</v>
      </c>
      <c r="G14">
        <v>0.65100000000000002</v>
      </c>
      <c r="H14">
        <v>0.65700000000000003</v>
      </c>
      <c r="I14">
        <v>0.66500000000000004</v>
      </c>
      <c r="J14">
        <v>0.67100000000000004</v>
      </c>
      <c r="K14">
        <v>0.67100000000000004</v>
      </c>
      <c r="L14">
        <v>0.67100000000000004</v>
      </c>
    </row>
    <row r="15" spans="1:14">
      <c r="F15">
        <v>5400000000000</v>
      </c>
      <c r="G15">
        <v>0.65300000000000002</v>
      </c>
      <c r="H15">
        <v>0.65900000000000003</v>
      </c>
      <c r="I15">
        <v>0.66700000000000004</v>
      </c>
    </row>
    <row r="16" spans="1:14">
      <c r="F16">
        <v>5500000000000</v>
      </c>
      <c r="H16">
        <v>0.66100000000000003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A47A0-4887-48AB-8DDC-6303ACC9B7F9}">
  <sheetPr codeName="Sheet9">
    <tabColor theme="9"/>
  </sheetPr>
  <dimension ref="A6:M56"/>
  <sheetViews>
    <sheetView workbookViewId="0">
      <selection activeCell="E10" sqref="E10"/>
    </sheetView>
  </sheetViews>
  <sheetFormatPr defaultRowHeight="18.75"/>
  <cols>
    <col min="2" max="2" width="10.5" bestFit="1" customWidth="1"/>
    <col min="4" max="4" width="10.5" bestFit="1" customWidth="1"/>
    <col min="5" max="5" width="22.5" customWidth="1"/>
    <col min="7" max="7" width="9.5" bestFit="1" customWidth="1"/>
    <col min="8" max="10" width="9" customWidth="1"/>
    <col min="11" max="11" width="11" bestFit="1" customWidth="1"/>
  </cols>
  <sheetData>
    <row r="6" spans="1:13">
      <c r="E6" t="s">
        <v>147</v>
      </c>
    </row>
    <row r="7" spans="1:13">
      <c r="B7" t="s">
        <v>148</v>
      </c>
      <c r="C7" t="s">
        <v>148</v>
      </c>
      <c r="D7" t="s">
        <v>148</v>
      </c>
      <c r="F7" t="s">
        <v>149</v>
      </c>
      <c r="G7" t="s">
        <v>149</v>
      </c>
      <c r="H7" t="s">
        <v>150</v>
      </c>
      <c r="I7" t="s">
        <v>150</v>
      </c>
      <c r="J7" t="s">
        <v>150</v>
      </c>
      <c r="K7" t="s">
        <v>150</v>
      </c>
      <c r="L7" t="s">
        <v>150</v>
      </c>
      <c r="M7" t="s">
        <v>149</v>
      </c>
    </row>
    <row r="8" spans="1:13">
      <c r="F8" t="s">
        <v>151</v>
      </c>
      <c r="G8" t="s">
        <v>152</v>
      </c>
      <c r="H8" t="s">
        <v>153</v>
      </c>
      <c r="I8" t="s">
        <v>151</v>
      </c>
      <c r="J8" t="s">
        <v>154</v>
      </c>
      <c r="K8" t="s">
        <v>155</v>
      </c>
      <c r="L8" t="s">
        <v>156</v>
      </c>
      <c r="M8" t="s">
        <v>157</v>
      </c>
    </row>
    <row r="9" spans="1:13">
      <c r="A9" t="s">
        <v>148</v>
      </c>
      <c r="F9" t="s">
        <v>158</v>
      </c>
      <c r="G9" t="s">
        <v>158</v>
      </c>
      <c r="H9" t="s">
        <v>158</v>
      </c>
      <c r="I9" t="s">
        <v>159</v>
      </c>
      <c r="J9" t="s">
        <v>158</v>
      </c>
      <c r="K9" t="s">
        <v>159</v>
      </c>
      <c r="L9" t="s">
        <v>158</v>
      </c>
      <c r="M9" t="s">
        <v>158</v>
      </c>
    </row>
    <row r="10" spans="1:13">
      <c r="E10" s="2" t="s">
        <v>12</v>
      </c>
      <c r="F10" s="2" t="s">
        <v>108</v>
      </c>
      <c r="G10" s="2" t="s">
        <v>109</v>
      </c>
      <c r="H10" s="2" t="s">
        <v>110</v>
      </c>
      <c r="I10" s="2" t="s">
        <v>111</v>
      </c>
      <c r="J10" s="2" t="s">
        <v>112</v>
      </c>
      <c r="K10" s="2" t="s">
        <v>113</v>
      </c>
      <c r="L10" s="2" t="s">
        <v>114</v>
      </c>
      <c r="M10" s="2" t="s">
        <v>115</v>
      </c>
    </row>
    <row r="11" spans="1:13">
      <c r="E11" s="2" t="s">
        <v>160</v>
      </c>
      <c r="F11" s="1">
        <v>1100000000000</v>
      </c>
      <c r="G11" s="1">
        <v>200000000000</v>
      </c>
      <c r="H11" s="2">
        <v>1</v>
      </c>
      <c r="I11" s="1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161</v>
      </c>
      <c r="F12" s="1">
        <v>1100000000000</v>
      </c>
      <c r="G12" s="1">
        <v>200000000000</v>
      </c>
      <c r="H12" s="2">
        <v>1</v>
      </c>
      <c r="I12" s="22">
        <v>5300000000000</v>
      </c>
      <c r="J12" s="19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162</v>
      </c>
      <c r="F13" s="1">
        <v>1100000000000</v>
      </c>
      <c r="G13" s="1">
        <v>200000000000</v>
      </c>
      <c r="H13" s="2">
        <v>1</v>
      </c>
      <c r="I13" s="27">
        <v>5400000000000</v>
      </c>
      <c r="J13">
        <v>3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163</v>
      </c>
      <c r="F14" s="4">
        <v>1200000000000</v>
      </c>
      <c r="G14" s="1">
        <v>200000000000</v>
      </c>
      <c r="H14" s="2">
        <v>1</v>
      </c>
      <c r="I14" s="1">
        <v>5200000000000</v>
      </c>
      <c r="J14" s="2">
        <v>1</v>
      </c>
      <c r="K14" s="24">
        <v>330000000000</v>
      </c>
      <c r="L14" s="17">
        <v>-1.2</v>
      </c>
      <c r="M14" s="2">
        <v>2</v>
      </c>
    </row>
    <row r="15" spans="1:13">
      <c r="E15" s="2" t="s">
        <v>164</v>
      </c>
      <c r="F15" s="4">
        <v>1200000000000</v>
      </c>
      <c r="G15" s="1">
        <v>200000000000</v>
      </c>
      <c r="H15" s="2">
        <v>1</v>
      </c>
      <c r="I15" s="22">
        <v>5300000000000</v>
      </c>
      <c r="J15" s="19">
        <v>2</v>
      </c>
      <c r="K15" s="24">
        <v>330000000000</v>
      </c>
      <c r="L15" s="17">
        <v>-1.2</v>
      </c>
      <c r="M15" s="2">
        <v>2</v>
      </c>
    </row>
    <row r="16" spans="1:13">
      <c r="E16" s="2" t="s">
        <v>165</v>
      </c>
      <c r="F16" s="4">
        <v>1200000000000</v>
      </c>
      <c r="G16" s="1">
        <v>200000000000</v>
      </c>
      <c r="H16" s="2">
        <v>1</v>
      </c>
      <c r="I16" s="27">
        <v>5400000000000</v>
      </c>
      <c r="J16" s="20">
        <v>3</v>
      </c>
      <c r="K16" s="24">
        <v>330000000000</v>
      </c>
      <c r="L16" s="17">
        <v>-1.2</v>
      </c>
      <c r="M16" s="2">
        <v>2</v>
      </c>
    </row>
    <row r="17" spans="1:13">
      <c r="E17" s="2" t="s">
        <v>166</v>
      </c>
      <c r="F17" s="4">
        <v>1200000000000</v>
      </c>
      <c r="G17" s="1">
        <v>200000000000</v>
      </c>
      <c r="H17" s="2">
        <v>1</v>
      </c>
      <c r="I17" s="23">
        <v>5400000000000</v>
      </c>
      <c r="J17" s="2">
        <v>1</v>
      </c>
      <c r="K17" s="24">
        <v>330000000000</v>
      </c>
      <c r="L17" s="18">
        <v>-1.3</v>
      </c>
      <c r="M17" s="2">
        <v>2</v>
      </c>
    </row>
    <row r="18" spans="1:13">
      <c r="E18" s="2" t="s">
        <v>167</v>
      </c>
      <c r="F18" s="4">
        <v>1300000000000</v>
      </c>
      <c r="G18" s="25">
        <v>300000000000</v>
      </c>
      <c r="H18" s="2">
        <v>1</v>
      </c>
      <c r="I18" s="1">
        <v>5200000000000</v>
      </c>
      <c r="J18" s="19">
        <v>2</v>
      </c>
      <c r="K18" s="24">
        <v>330000000000</v>
      </c>
      <c r="L18" s="18">
        <v>-1.3</v>
      </c>
      <c r="M18" s="2">
        <v>2</v>
      </c>
    </row>
    <row r="19" spans="1:13">
      <c r="E19" s="2" t="s">
        <v>168</v>
      </c>
      <c r="F19" s="4">
        <v>1300000000000</v>
      </c>
      <c r="G19" s="25">
        <v>300000000000</v>
      </c>
      <c r="H19" s="2">
        <v>1</v>
      </c>
      <c r="I19" s="22">
        <v>5300000000000</v>
      </c>
      <c r="J19" s="20">
        <v>3</v>
      </c>
      <c r="K19" s="24">
        <v>330000000000</v>
      </c>
      <c r="L19" s="18">
        <v>-1.3</v>
      </c>
      <c r="M19" s="2">
        <v>2</v>
      </c>
    </row>
    <row r="20" spans="1:13">
      <c r="E20" s="2" t="s">
        <v>169</v>
      </c>
      <c r="F20" s="4">
        <v>1300000000000</v>
      </c>
      <c r="G20" s="25">
        <v>300000000000</v>
      </c>
      <c r="H20" s="2">
        <v>1</v>
      </c>
      <c r="I20" s="27">
        <v>5400000000000</v>
      </c>
      <c r="J20" s="2">
        <v>1</v>
      </c>
      <c r="K20" s="24">
        <v>330000000000</v>
      </c>
      <c r="L20" s="18">
        <v>-1.3</v>
      </c>
      <c r="M20" s="2">
        <v>2</v>
      </c>
    </row>
    <row r="21" spans="1:13">
      <c r="E21" s="2" t="s">
        <v>170</v>
      </c>
      <c r="F21" s="4">
        <v>1300000000000</v>
      </c>
      <c r="G21" s="25">
        <v>300000000000</v>
      </c>
      <c r="H21" s="2">
        <v>1</v>
      </c>
      <c r="I21" s="1">
        <v>5200000000000</v>
      </c>
      <c r="J21" s="19">
        <v>2</v>
      </c>
      <c r="K21" s="26">
        <v>360000000000</v>
      </c>
      <c r="L21" s="18">
        <v>-1.3</v>
      </c>
      <c r="M21" s="2">
        <v>2</v>
      </c>
    </row>
    <row r="22" spans="1:13">
      <c r="E22" s="2" t="s">
        <v>171</v>
      </c>
      <c r="F22" s="4">
        <v>1400000000000</v>
      </c>
      <c r="G22" s="25">
        <v>300000000000</v>
      </c>
      <c r="H22" s="2">
        <v>1</v>
      </c>
      <c r="I22" s="22">
        <v>5300000000000</v>
      </c>
      <c r="J22" s="20">
        <v>3</v>
      </c>
      <c r="K22" s="26">
        <v>360000000000</v>
      </c>
      <c r="L22" s="18">
        <v>-1.3</v>
      </c>
      <c r="M22" s="2">
        <v>2</v>
      </c>
    </row>
    <row r="25" spans="1:13">
      <c r="E25" t="s">
        <v>186</v>
      </c>
    </row>
    <row r="26" spans="1:13">
      <c r="B26" t="s">
        <v>148</v>
      </c>
      <c r="C26" t="s">
        <v>148</v>
      </c>
      <c r="D26" t="s">
        <v>148</v>
      </c>
      <c r="F26" t="s">
        <v>149</v>
      </c>
      <c r="G26" t="s">
        <v>149</v>
      </c>
      <c r="H26" t="s">
        <v>150</v>
      </c>
      <c r="I26" t="s">
        <v>150</v>
      </c>
      <c r="J26" t="s">
        <v>150</v>
      </c>
      <c r="K26" t="s">
        <v>150</v>
      </c>
      <c r="L26" t="s">
        <v>150</v>
      </c>
      <c r="M26" t="s">
        <v>149</v>
      </c>
    </row>
    <row r="27" spans="1:13">
      <c r="F27" t="s">
        <v>151</v>
      </c>
      <c r="G27" t="s">
        <v>152</v>
      </c>
      <c r="H27" t="s">
        <v>153</v>
      </c>
      <c r="I27" t="s">
        <v>151</v>
      </c>
      <c r="J27" t="s">
        <v>154</v>
      </c>
      <c r="K27" t="s">
        <v>155</v>
      </c>
      <c r="L27" t="s">
        <v>156</v>
      </c>
      <c r="M27" t="s">
        <v>157</v>
      </c>
    </row>
    <row r="28" spans="1:13">
      <c r="A28" t="s">
        <v>148</v>
      </c>
      <c r="F28" t="s">
        <v>158</v>
      </c>
      <c r="G28" t="s">
        <v>158</v>
      </c>
      <c r="H28" t="s">
        <v>158</v>
      </c>
      <c r="I28" t="s">
        <v>159</v>
      </c>
      <c r="J28" t="s">
        <v>158</v>
      </c>
      <c r="K28" t="s">
        <v>159</v>
      </c>
      <c r="L28" t="s">
        <v>158</v>
      </c>
      <c r="M28" t="s">
        <v>158</v>
      </c>
    </row>
    <row r="29" spans="1:13">
      <c r="E29" s="2" t="s">
        <v>12</v>
      </c>
      <c r="F29" s="2" t="s">
        <v>108</v>
      </c>
      <c r="G29" s="2" t="s">
        <v>109</v>
      </c>
      <c r="H29" s="2" t="s">
        <v>110</v>
      </c>
      <c r="I29" s="2" t="s">
        <v>111</v>
      </c>
      <c r="J29" s="2" t="s">
        <v>112</v>
      </c>
      <c r="K29" s="2" t="s">
        <v>113</v>
      </c>
      <c r="L29" s="2" t="s">
        <v>114</v>
      </c>
      <c r="M29" s="2" t="s">
        <v>115</v>
      </c>
    </row>
    <row r="30" spans="1:13">
      <c r="E30" s="18" t="s">
        <v>118</v>
      </c>
      <c r="F30" s="1">
        <v>1100000000000</v>
      </c>
      <c r="G30" s="1">
        <v>200000000000</v>
      </c>
      <c r="H30" s="34">
        <v>10</v>
      </c>
      <c r="I30" s="1">
        <v>5200000000000</v>
      </c>
      <c r="J30" s="2">
        <v>1</v>
      </c>
      <c r="K30">
        <f t="shared" ref="K30:K35" si="0">311000000000</f>
        <v>311000000000</v>
      </c>
      <c r="L30" s="2">
        <v>-1.1000000000000001</v>
      </c>
      <c r="M30" s="34">
        <v>20</v>
      </c>
    </row>
    <row r="31" spans="1:13">
      <c r="E31" s="18" t="s">
        <v>16</v>
      </c>
      <c r="F31" s="1">
        <v>1100000000000</v>
      </c>
      <c r="G31" s="1">
        <v>200000000000</v>
      </c>
      <c r="H31" s="34">
        <v>10</v>
      </c>
      <c r="I31" s="22">
        <v>5300000000000</v>
      </c>
      <c r="J31" s="19">
        <v>2</v>
      </c>
      <c r="K31">
        <f t="shared" si="0"/>
        <v>311000000000</v>
      </c>
      <c r="L31" s="2">
        <v>-1.1000000000000001</v>
      </c>
      <c r="M31" s="34">
        <v>20</v>
      </c>
    </row>
    <row r="32" spans="1:13">
      <c r="E32" s="18" t="s">
        <v>17</v>
      </c>
      <c r="F32" s="1">
        <v>1100000000000</v>
      </c>
      <c r="G32" s="1">
        <v>200000000000</v>
      </c>
      <c r="H32" s="34">
        <v>10</v>
      </c>
      <c r="I32" s="27">
        <v>5400000000000</v>
      </c>
      <c r="J32">
        <v>3</v>
      </c>
      <c r="K32">
        <f t="shared" si="0"/>
        <v>311000000000</v>
      </c>
      <c r="L32" s="17">
        <v>-1.2</v>
      </c>
      <c r="M32" s="34">
        <v>20</v>
      </c>
    </row>
    <row r="33" spans="5:13">
      <c r="E33" s="2" t="s">
        <v>160</v>
      </c>
      <c r="F33" s="1">
        <v>1100000000000</v>
      </c>
      <c r="G33" s="1">
        <v>200000000000</v>
      </c>
      <c r="H33" s="34">
        <v>10</v>
      </c>
      <c r="I33" s="1">
        <v>5200000000000</v>
      </c>
      <c r="J33" s="2">
        <v>1</v>
      </c>
      <c r="K33">
        <f t="shared" si="0"/>
        <v>311000000000</v>
      </c>
      <c r="L33" s="2">
        <v>-1.1000000000000001</v>
      </c>
      <c r="M33" s="34">
        <v>20</v>
      </c>
    </row>
    <row r="34" spans="5:13">
      <c r="E34" s="2" t="s">
        <v>161</v>
      </c>
      <c r="F34" s="1">
        <v>1100000000000</v>
      </c>
      <c r="G34" s="1">
        <v>200000000000</v>
      </c>
      <c r="H34" s="34">
        <v>10</v>
      </c>
      <c r="I34" s="22">
        <v>5300000000000</v>
      </c>
      <c r="J34" s="19">
        <v>2</v>
      </c>
      <c r="K34">
        <f t="shared" si="0"/>
        <v>311000000000</v>
      </c>
      <c r="L34" s="2">
        <v>-1.1000000000000001</v>
      </c>
      <c r="M34" s="34">
        <v>20</v>
      </c>
    </row>
    <row r="35" spans="5:13">
      <c r="E35" s="2" t="s">
        <v>162</v>
      </c>
      <c r="F35" s="1">
        <v>1100000000000</v>
      </c>
      <c r="G35" s="1">
        <v>200000000000</v>
      </c>
      <c r="H35" s="34">
        <v>10</v>
      </c>
      <c r="I35" s="27">
        <v>5400000000000</v>
      </c>
      <c r="J35">
        <v>3</v>
      </c>
      <c r="K35">
        <f t="shared" si="0"/>
        <v>311000000000</v>
      </c>
      <c r="L35" s="17">
        <v>-1.2</v>
      </c>
      <c r="M35" s="34">
        <v>20</v>
      </c>
    </row>
    <row r="36" spans="5:13">
      <c r="E36" s="2" t="s">
        <v>163</v>
      </c>
      <c r="F36" s="4">
        <v>1200000000000</v>
      </c>
      <c r="G36" s="1">
        <v>200000000000</v>
      </c>
      <c r="H36" s="34">
        <v>10</v>
      </c>
      <c r="I36" s="1">
        <v>5200000000000</v>
      </c>
      <c r="J36" s="2">
        <v>1</v>
      </c>
      <c r="K36" s="24">
        <v>330000000000</v>
      </c>
      <c r="L36" s="17">
        <v>-1.2</v>
      </c>
      <c r="M36" s="34">
        <v>20</v>
      </c>
    </row>
    <row r="37" spans="5:13">
      <c r="E37" s="2" t="s">
        <v>164</v>
      </c>
      <c r="F37" s="4">
        <v>1200000000000</v>
      </c>
      <c r="G37" s="1">
        <v>200000000000</v>
      </c>
      <c r="H37" s="34">
        <v>10</v>
      </c>
      <c r="I37" s="22">
        <v>5300000000000</v>
      </c>
      <c r="J37" s="19">
        <v>2</v>
      </c>
      <c r="K37" s="24">
        <v>330000000000</v>
      </c>
      <c r="L37" s="17">
        <v>-1.2</v>
      </c>
      <c r="M37" s="34">
        <v>20</v>
      </c>
    </row>
    <row r="38" spans="5:13">
      <c r="E38" s="2" t="s">
        <v>165</v>
      </c>
      <c r="F38" s="4">
        <v>1200000000000</v>
      </c>
      <c r="G38" s="1">
        <v>200000000000</v>
      </c>
      <c r="H38" s="34">
        <v>10</v>
      </c>
      <c r="I38" s="27">
        <v>5400000000000</v>
      </c>
      <c r="J38" s="20">
        <v>3</v>
      </c>
      <c r="K38" s="24">
        <v>330000000000</v>
      </c>
      <c r="L38" s="17">
        <v>-1.2</v>
      </c>
      <c r="M38" s="34">
        <v>20</v>
      </c>
    </row>
    <row r="39" spans="5:13">
      <c r="E39" s="2" t="s">
        <v>166</v>
      </c>
      <c r="F39" s="4">
        <v>1200000000000</v>
      </c>
      <c r="G39" s="1">
        <v>200000000000</v>
      </c>
      <c r="H39" s="34">
        <v>10</v>
      </c>
      <c r="I39" s="23">
        <v>5400000000000</v>
      </c>
      <c r="J39" s="2">
        <v>1</v>
      </c>
      <c r="K39" s="24">
        <v>330000000000</v>
      </c>
      <c r="L39" s="18">
        <v>-1.3</v>
      </c>
      <c r="M39" s="34">
        <v>20</v>
      </c>
    </row>
    <row r="40" spans="5:13">
      <c r="E40" s="2" t="s">
        <v>167</v>
      </c>
      <c r="F40" s="4">
        <v>1300000000000</v>
      </c>
      <c r="G40" s="25">
        <v>300000000000</v>
      </c>
      <c r="H40" s="34">
        <v>10</v>
      </c>
      <c r="I40" s="1">
        <v>5200000000000</v>
      </c>
      <c r="J40" s="19">
        <v>2</v>
      </c>
      <c r="K40" s="24">
        <v>330000000000</v>
      </c>
      <c r="L40" s="18">
        <v>-1.3</v>
      </c>
      <c r="M40" s="34">
        <v>20</v>
      </c>
    </row>
    <row r="41" spans="5:13">
      <c r="E41" s="2" t="s">
        <v>168</v>
      </c>
      <c r="F41" s="4">
        <v>1300000000000</v>
      </c>
      <c r="G41" s="25">
        <v>300000000000</v>
      </c>
      <c r="H41" s="34">
        <v>10</v>
      </c>
      <c r="I41" s="22">
        <v>5300000000000</v>
      </c>
      <c r="J41" s="20">
        <v>3</v>
      </c>
      <c r="K41" s="24">
        <v>330000000000</v>
      </c>
      <c r="L41" s="18">
        <v>-1.3</v>
      </c>
      <c r="M41" s="34">
        <v>20</v>
      </c>
    </row>
    <row r="42" spans="5:13">
      <c r="E42" s="2" t="s">
        <v>169</v>
      </c>
      <c r="F42" s="4">
        <v>1300000000000</v>
      </c>
      <c r="G42" s="25">
        <v>300000000000</v>
      </c>
      <c r="H42" s="34">
        <v>10</v>
      </c>
      <c r="I42" s="27">
        <v>5400000000000</v>
      </c>
      <c r="J42" s="2">
        <v>1</v>
      </c>
      <c r="K42" s="24">
        <v>330000000000</v>
      </c>
      <c r="L42" s="18">
        <v>-1.3</v>
      </c>
      <c r="M42" s="34">
        <v>20</v>
      </c>
    </row>
    <row r="43" spans="5:13">
      <c r="E43" s="2" t="s">
        <v>170</v>
      </c>
      <c r="F43" s="4">
        <v>1300000000000</v>
      </c>
      <c r="G43" s="25">
        <v>300000000000</v>
      </c>
      <c r="H43" s="34">
        <v>10</v>
      </c>
      <c r="I43" s="1">
        <v>5200000000000</v>
      </c>
      <c r="J43" s="19">
        <v>2</v>
      </c>
      <c r="K43" s="26">
        <v>360000000000</v>
      </c>
      <c r="L43" s="18">
        <v>-1.3</v>
      </c>
      <c r="M43" s="34">
        <v>20</v>
      </c>
    </row>
    <row r="44" spans="5:13">
      <c r="E44" s="2" t="s">
        <v>171</v>
      </c>
      <c r="F44" s="4">
        <v>1400000000000</v>
      </c>
      <c r="G44" s="25">
        <v>300000000000</v>
      </c>
      <c r="H44" s="34">
        <v>10</v>
      </c>
      <c r="I44" s="22">
        <v>5300000000000</v>
      </c>
      <c r="J44" s="20">
        <v>3</v>
      </c>
      <c r="K44" s="26">
        <v>360000000000</v>
      </c>
      <c r="L44" s="18">
        <v>-1.3</v>
      </c>
      <c r="M44" s="34">
        <v>20</v>
      </c>
    </row>
    <row r="45" spans="5:13">
      <c r="E45" s="18" t="s">
        <v>172</v>
      </c>
      <c r="F45" s="1">
        <v>1100000000000</v>
      </c>
      <c r="G45" s="1">
        <v>200000000000</v>
      </c>
      <c r="H45" s="34">
        <v>10</v>
      </c>
      <c r="I45" s="1">
        <v>5200000000000</v>
      </c>
      <c r="J45" s="2">
        <v>1</v>
      </c>
      <c r="K45">
        <f>311000000000</f>
        <v>311000000000</v>
      </c>
      <c r="L45" s="2">
        <v>-1.1000000000000001</v>
      </c>
      <c r="M45" s="34">
        <v>20</v>
      </c>
    </row>
    <row r="46" spans="5:13">
      <c r="E46" s="18" t="s">
        <v>173</v>
      </c>
      <c r="F46" s="1">
        <v>1100000000000</v>
      </c>
      <c r="G46" s="1">
        <v>200000000000</v>
      </c>
      <c r="H46" s="34">
        <v>10</v>
      </c>
      <c r="I46" s="22">
        <v>5300000000000</v>
      </c>
      <c r="J46" s="19">
        <v>2</v>
      </c>
      <c r="K46">
        <f>311000000000</f>
        <v>311000000000</v>
      </c>
      <c r="L46" s="2">
        <v>-1.1000000000000001</v>
      </c>
      <c r="M46" s="34">
        <v>20</v>
      </c>
    </row>
    <row r="47" spans="5:13">
      <c r="E47" s="18" t="s">
        <v>174</v>
      </c>
      <c r="F47" s="1">
        <v>1100000000000</v>
      </c>
      <c r="G47" s="1">
        <v>200000000000</v>
      </c>
      <c r="H47" s="34">
        <v>10</v>
      </c>
      <c r="I47" s="27">
        <v>5400000000000</v>
      </c>
      <c r="J47">
        <v>3</v>
      </c>
      <c r="K47">
        <f>311000000000</f>
        <v>311000000000</v>
      </c>
      <c r="L47" s="17">
        <v>-1.2</v>
      </c>
      <c r="M47" s="34">
        <v>20</v>
      </c>
    </row>
    <row r="48" spans="5:13">
      <c r="E48" s="18" t="s">
        <v>175</v>
      </c>
      <c r="F48" s="4">
        <v>1200000000000</v>
      </c>
      <c r="G48" s="1">
        <v>200000000000</v>
      </c>
      <c r="H48" s="34">
        <v>10</v>
      </c>
      <c r="I48" s="1">
        <v>5200000000000</v>
      </c>
      <c r="J48" s="2">
        <v>1</v>
      </c>
      <c r="K48" s="24">
        <v>330000000000</v>
      </c>
      <c r="L48" s="17">
        <v>-1.2</v>
      </c>
      <c r="M48" s="34">
        <v>20</v>
      </c>
    </row>
    <row r="49" spans="5:13">
      <c r="E49" s="18" t="s">
        <v>176</v>
      </c>
      <c r="F49" s="4">
        <v>1200000000000</v>
      </c>
      <c r="G49" s="1">
        <v>200000000000</v>
      </c>
      <c r="H49" s="34">
        <v>10</v>
      </c>
      <c r="I49" s="22">
        <v>5300000000000</v>
      </c>
      <c r="J49" s="19">
        <v>2</v>
      </c>
      <c r="K49" s="24">
        <v>330000000000</v>
      </c>
      <c r="L49" s="17">
        <v>-1.2</v>
      </c>
      <c r="M49" s="34">
        <v>20</v>
      </c>
    </row>
    <row r="50" spans="5:13">
      <c r="E50" s="18" t="s">
        <v>177</v>
      </c>
      <c r="F50" s="4">
        <v>1200000000000</v>
      </c>
      <c r="G50" s="1">
        <v>200000000000</v>
      </c>
      <c r="H50" s="34">
        <v>10</v>
      </c>
      <c r="I50" s="27">
        <v>5400000000000</v>
      </c>
      <c r="J50" s="20">
        <v>3</v>
      </c>
      <c r="K50" s="24">
        <v>330000000000</v>
      </c>
      <c r="L50" s="17">
        <v>-1.2</v>
      </c>
      <c r="M50" s="34">
        <v>20</v>
      </c>
    </row>
    <row r="51" spans="5:13">
      <c r="E51" s="18" t="s">
        <v>178</v>
      </c>
      <c r="F51" s="4">
        <v>1200000000000</v>
      </c>
      <c r="G51" s="1">
        <v>200000000000</v>
      </c>
      <c r="H51" s="34">
        <v>10</v>
      </c>
      <c r="I51" s="23">
        <v>5400000000000</v>
      </c>
      <c r="J51" s="2">
        <v>1</v>
      </c>
      <c r="K51" s="24">
        <v>330000000000</v>
      </c>
      <c r="L51" s="18">
        <v>-1.3</v>
      </c>
      <c r="M51" s="34">
        <v>20</v>
      </c>
    </row>
    <row r="52" spans="5:13">
      <c r="E52" s="18" t="s">
        <v>179</v>
      </c>
      <c r="F52" s="4">
        <v>1300000000000</v>
      </c>
      <c r="G52" s="25">
        <v>300000000000</v>
      </c>
      <c r="H52" s="34">
        <v>10</v>
      </c>
      <c r="I52" s="1">
        <v>5200000000000</v>
      </c>
      <c r="J52" s="19">
        <v>2</v>
      </c>
      <c r="K52" s="24">
        <v>330000000000</v>
      </c>
      <c r="L52" s="18">
        <v>-1.3</v>
      </c>
      <c r="M52" s="34">
        <v>20</v>
      </c>
    </row>
    <row r="53" spans="5:13">
      <c r="E53" s="18" t="s">
        <v>180</v>
      </c>
      <c r="F53" s="4">
        <v>1300000000000</v>
      </c>
      <c r="G53" s="25">
        <v>300000000000</v>
      </c>
      <c r="H53" s="34">
        <v>10</v>
      </c>
      <c r="I53" s="22">
        <v>5300000000000</v>
      </c>
      <c r="J53" s="20">
        <v>3</v>
      </c>
      <c r="K53" s="24">
        <v>330000000000</v>
      </c>
      <c r="L53" s="18">
        <v>-1.3</v>
      </c>
      <c r="M53" s="34">
        <v>20</v>
      </c>
    </row>
    <row r="54" spans="5:13">
      <c r="E54" s="18" t="s">
        <v>181</v>
      </c>
      <c r="F54" s="4">
        <v>1300000000000</v>
      </c>
      <c r="G54" s="25">
        <v>300000000000</v>
      </c>
      <c r="H54" s="34">
        <v>10</v>
      </c>
      <c r="I54" s="27">
        <v>5400000000000</v>
      </c>
      <c r="J54" s="2">
        <v>1</v>
      </c>
      <c r="K54" s="24">
        <v>330000000000</v>
      </c>
      <c r="L54" s="18">
        <v>-1.3</v>
      </c>
      <c r="M54" s="34">
        <v>20</v>
      </c>
    </row>
    <row r="55" spans="5:13">
      <c r="E55" s="18" t="s">
        <v>182</v>
      </c>
      <c r="F55" s="4">
        <v>1300000000000</v>
      </c>
      <c r="G55" s="25">
        <v>300000000000</v>
      </c>
      <c r="H55" s="34">
        <v>10</v>
      </c>
      <c r="I55" s="1">
        <v>5200000000000</v>
      </c>
      <c r="J55" s="19">
        <v>2</v>
      </c>
      <c r="K55" s="26">
        <v>360000000000</v>
      </c>
      <c r="L55" s="18">
        <v>-1.3</v>
      </c>
      <c r="M55" s="34">
        <v>20</v>
      </c>
    </row>
    <row r="56" spans="5:13">
      <c r="E56" s="18" t="s">
        <v>183</v>
      </c>
      <c r="F56" s="4">
        <v>1400000000000</v>
      </c>
      <c r="G56" s="25">
        <v>300000000000</v>
      </c>
      <c r="H56" s="34">
        <v>10</v>
      </c>
      <c r="I56" s="22">
        <v>5300000000000</v>
      </c>
      <c r="J56" s="20">
        <v>3</v>
      </c>
      <c r="K56" s="26">
        <v>360000000000</v>
      </c>
      <c r="L56" s="18">
        <v>-1.3</v>
      </c>
      <c r="M56" s="34">
        <v>20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グラフ作成</vt:lpstr>
      <vt:lpstr>設定ファイル</vt:lpstr>
      <vt:lpstr>条件表</vt:lpstr>
      <vt:lpstr>DataTable</vt:lpstr>
      <vt:lpstr>DataTable_bck</vt:lpstr>
      <vt:lpstr>サマリ</vt:lpstr>
      <vt:lpstr>BCK_サマリ</vt:lpstr>
      <vt:lpstr>散布図</vt:lpstr>
      <vt:lpstr>BCK_散布図</vt:lpstr>
      <vt:lpstr>例_散布図</vt:lpstr>
      <vt:lpstr>work_template</vt:lpstr>
      <vt:lpstr>work_jyoken</vt:lpstr>
      <vt:lpstr>work_graph</vt:lpstr>
      <vt:lpstr>work_scatter1</vt:lpstr>
      <vt:lpstr>work_scatter2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2021-08-26T03:39:55Z</dcterms:modified>
</cp:coreProperties>
</file>