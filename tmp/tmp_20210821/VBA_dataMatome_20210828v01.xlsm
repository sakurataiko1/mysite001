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2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2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26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2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charts/chart2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9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2AE2E7C5-C5EF-455A-8C90-20292022CFF4}" xr6:coauthVersionLast="47" xr6:coauthVersionMax="47" xr10:uidLastSave="{00000000-0000-0000-0000-000000000000}"/>
  <bookViews>
    <workbookView xWindow="-120" yWindow="-120" windowWidth="24240" windowHeight="13140" firstSheet="15" activeTab="16" xr2:uid="{00000000-000D-0000-FFFF-FFFF00000000}"/>
  </bookViews>
  <sheets>
    <sheet name="グラフ作成" sheetId="6" r:id="rId1"/>
    <sheet name="設定ファイル" sheetId="51" r:id="rId2"/>
    <sheet name="条件表" sheetId="3" r:id="rId3"/>
    <sheet name="DataTable" sheetId="52" r:id="rId4"/>
    <sheet name="DataTable_bck" sheetId="23" r:id="rId5"/>
    <sheet name="サマリ" sheetId="16" r:id="rId6"/>
    <sheet name="BCK_サマリ" sheetId="43" r:id="rId7"/>
    <sheet name="散布図" sheetId="8" r:id="rId8"/>
    <sheet name="サマリ対象" sheetId="54" r:id="rId9"/>
    <sheet name="BCK_散布図" sheetId="44" r:id="rId10"/>
    <sheet name="例_散布図" sheetId="4" r:id="rId11"/>
    <sheet name="work_template" sheetId="42" r:id="rId12"/>
    <sheet name="work_jyoken" sheetId="12" r:id="rId13"/>
    <sheet name="work_graph" sheetId="7" r:id="rId14"/>
    <sheet name="work_scatter1" sheetId="13" r:id="rId15"/>
    <sheet name="src_jyoken" sheetId="53" r:id="rId16"/>
    <sheet name="例_グラフ背景塗りつぶし" sheetId="55" r:id="rId17"/>
    <sheet name="例_グラフ背景塗りつぶし_y範囲" sheetId="56" r:id="rId18"/>
    <sheet name="例_グラフ背景塗りつぶし_x範囲" sheetId="57" r:id="rId19"/>
  </sheets>
  <functionGroups builtInGroupCount="19"/>
  <externalReferences>
    <externalReference r:id="rId20"/>
    <externalReference r:id="rId21"/>
  </externalReferences>
  <definedNames>
    <definedName name="_xlnm._FilterDatabase" localSheetId="9" hidden="1">BCK_散布図!#REF!</definedName>
    <definedName name="_xlnm._FilterDatabase" localSheetId="3" hidden="1">DataTable!$F$1:$Q$16</definedName>
    <definedName name="_xlnm._FilterDatabase" localSheetId="4" hidden="1">DataTable_bck!$F$1:$Q$16</definedName>
    <definedName name="_xlnm._FilterDatabase" localSheetId="14" hidden="1">work_scatter1!#REF!</definedName>
    <definedName name="_xlnm._FilterDatabase" localSheetId="7" hidden="1">散布図!#REF!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53" l="1"/>
  <c r="H5" i="53"/>
  <c r="H4" i="53"/>
  <c r="D7" i="52"/>
  <c r="D6" i="52"/>
  <c r="D5" i="52"/>
  <c r="D7" i="23"/>
  <c r="D6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666D1E18-9601-4E80-8921-8C7268E13FE1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<sst xmlns="http://schemas.openxmlformats.org/spreadsheetml/2006/main" count="650" uniqueCount="237">
  <si>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</si>
  <si>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</si>
  <si>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</si>
  <si>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</si>
  <si>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</si>
  <si>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</si>
  <si>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</si>
  <si>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</si>
  <si>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</si>
  <si>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</si>
  <si>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</si>
  <si>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</si>
  <si>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</si>
  <si>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</si>
  <si>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</si>
  <si>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</si>
  <si>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</si>
  <si>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</si>
  <si>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</si>
  <si>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</si>
  <si>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</si>
  <si>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</si>
  <si>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</si>
  <si>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</si>
  <si>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</si>
  <si>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</si>
  <si>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</si>
  <si>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</si>
  <si>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</si>
  <si>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</si>
  <si>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</si>
  <si>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</si>
  <si>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</si>
  <si>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</si>
  <si>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</si>
  <si>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</si>
  <si>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</si>
  <si>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</si>
  <si>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</si>
  <si>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</si>
  <si>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</si>
  <si>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</si>
  <si>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</si>
  <si>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</si>
  <si>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</si>
  <si>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</si>
  <si>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</si>
  <si>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</si>
  <si>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</si>
  <si>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</si>
  <si>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</si>
  <si>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</si>
  <si>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</si>
  <si>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</si>
  <si>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</si>
  <si>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</si>
  <si>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</si>
  <si>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</si>
  <si>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</si>
  <si>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</si>
  <si>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</si>
  <si>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</si>
  <si>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</si>
  <si>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</si>
  <si>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</si>
  <si>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</si>
  <si>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</si>
  <si>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</si>
  <si>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</si>
  <si>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</si>
  <si>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</si>
  <si>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</si>
  <si>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</si>
  <si>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</si>
  <si>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</si>
  <si>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</si>
  <si>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</si>
  <si>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</si>
  <si>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</si>
  <si>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</si>
  <si>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</si>
  <si>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</si>
  <si>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</si>
  <si>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</si>
  <si>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</si>
  <si>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</si>
  <si>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</si>
  <si>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</si>
  <si>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</si>
  <si>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</si>
  <si>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</si>
  <si>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</si>
  <si>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</si>
  <si>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</si>
  <si>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</si>
  <si>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</si>
  <si>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</si>
  <si>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</si>
  <si>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</si>
  <si>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</si>
  <si>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</si>
  <si>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</si>
  <si>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</si>
  <si>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</si>
  <si>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</si>
  <si>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</si>
  <si>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</si>
  <si>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</si>
  <si>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</si>
  <si>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</si>
  <si>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</si>
  <si>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</si>
  <si>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</si>
  <si>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CWL1_dose</t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</si>
  <si>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</si>
  <si>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</si>
  <si>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</si>
  <si>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</si>
  <si>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</si>
  <si>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</si>
  <si>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</si>
  <si>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</si>
  <si>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</si>
  <si>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</si>
  <si>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</si>
  <si>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</si>
  <si>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</si>
  <si>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</si>
  <si>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e12</t>
    <phoneticPr fontId="1"/>
  </si>
  <si>
    <t>e11</t>
    <phoneticPr fontId="1"/>
  </si>
  <si>
    <t>C:\kuroda\work\00_TCAD\20210701_PDsim\第1要望_自動グラフ作成_Excelマクロ\デバッグ用_マクロインプットデータ\マクロインプットデータ_条件表.xlsx</t>
    <phoneticPr fontId="1"/>
  </si>
  <si>
    <t>C:\kuroda\work\00_TCAD\20210701_PDsim\第1要望_自動グラフ作成_Excelマクロ\デバッグ用_マクロインプットデータ\マクロインプットデータ_設定ファイル.xlsx</t>
    <phoneticPr fontId="1"/>
  </si>
  <si>
    <t>C:\kuroda\work\00_TCAD\20210701_PDsim\第1要望_自動グラフ作成_Excelマクロ\デバッグ用_マクロインプットデータ\マクロインプットデータ_speedData.xlsx</t>
    <phoneticPr fontId="1"/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</si>
  <si>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</si>
  <si>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</si>
  <si>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</si>
  <si>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</si>
  <si>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</si>
  <si>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条件表2-2</t>
    <rPh sb="0" eb="2">
      <t>ジョウケン</t>
    </rPh>
    <rPh sb="2" eb="3">
      <t>ヒョウ</t>
    </rPh>
    <phoneticPr fontId="1"/>
  </si>
  <si>
    <t>imp01_w1</t>
    <phoneticPr fontId="1"/>
  </si>
  <si>
    <t>imp01_w2</t>
  </si>
  <si>
    <t>imp01_w3</t>
  </si>
  <si>
    <t>imp01_w4</t>
  </si>
  <si>
    <t>imp01_w5</t>
  </si>
  <si>
    <t>imp01_w6</t>
  </si>
  <si>
    <t>指定範囲 $B$3:$J$9</t>
    <phoneticPr fontId="1"/>
  </si>
  <si>
    <t>■　サマリ対象</t>
  </si>
  <si>
    <t>サマリグラフ作成するもの一覧を書いてください。</t>
  </si>
  <si>
    <t>デフォルトは、SPEED DataTableの特性全てですが、必要なものだけ残して、対象外項目は削除して下さい。</t>
  </si>
  <si>
    <t>グラフ作成対象が多すぎると処理失敗することがあります。（目安グラフ70個以上が限度ですが、PCメモリ状況次第)</t>
  </si>
  <si>
    <t>グラフ作成_散布図_Y軸_ユーザー選択</t>
  </si>
  <si>
    <t>グラフ作成_散布図_X軸コンボボックス_ユーザー選択</t>
    <phoneticPr fontId="1"/>
  </si>
  <si>
    <t>Mode</t>
    <phoneticPr fontId="1"/>
  </si>
  <si>
    <t>01_TGoff</t>
    <phoneticPr fontId="1"/>
  </si>
  <si>
    <t>01_TGon</t>
    <phoneticPr fontId="1"/>
  </si>
  <si>
    <t>03_Qs</t>
    <phoneticPr fontId="1"/>
  </si>
  <si>
    <t>PLT|EXT</t>
    <phoneticPr fontId="1"/>
  </si>
  <si>
    <t>Extract1</t>
    <phoneticPr fontId="1"/>
  </si>
  <si>
    <t>Extract2</t>
    <phoneticPr fontId="1"/>
  </si>
  <si>
    <t>Extract3</t>
    <phoneticPr fontId="1"/>
  </si>
  <si>
    <t>Extract4</t>
    <phoneticPr fontId="1"/>
  </si>
  <si>
    <t>Extract5</t>
    <phoneticPr fontId="1"/>
  </si>
  <si>
    <t>Extract6</t>
    <phoneticPr fontId="1"/>
  </si>
  <si>
    <t>Extract7</t>
    <phoneticPr fontId="1"/>
  </si>
  <si>
    <t>Extract10</t>
    <phoneticPr fontId="1"/>
  </si>
  <si>
    <t>Extract11</t>
    <phoneticPr fontId="1"/>
  </si>
  <si>
    <t>Name</t>
    <phoneticPr fontId="1"/>
  </si>
  <si>
    <t>toku1</t>
    <phoneticPr fontId="1"/>
  </si>
  <si>
    <t>toku2</t>
    <phoneticPr fontId="1"/>
  </si>
  <si>
    <t>toku3</t>
    <phoneticPr fontId="1"/>
  </si>
  <si>
    <t>tokuA</t>
    <phoneticPr fontId="1"/>
  </si>
  <si>
    <t>tokuE</t>
    <phoneticPr fontId="1"/>
  </si>
  <si>
    <t>tokuF</t>
    <phoneticPr fontId="1"/>
  </si>
  <si>
    <t>SRpot</t>
    <phoneticPr fontId="1"/>
  </si>
  <si>
    <t>TEST01</t>
    <phoneticPr fontId="1"/>
  </si>
  <si>
    <t>ZTEST01</t>
    <phoneticPr fontId="1"/>
  </si>
  <si>
    <t>Qs01</t>
    <phoneticPr fontId="1"/>
  </si>
  <si>
    <t>Qs02</t>
    <phoneticPr fontId="1"/>
  </si>
  <si>
    <t>Object</t>
    <phoneticPr fontId="1"/>
  </si>
  <si>
    <t>VMAX</t>
    <phoneticPr fontId="1"/>
  </si>
  <si>
    <t>VMIN</t>
    <phoneticPr fontId="1"/>
  </si>
  <si>
    <t>NSADDLE</t>
    <phoneticPr fontId="1"/>
  </si>
  <si>
    <t>XNADDLE</t>
    <phoneticPr fontId="1"/>
  </si>
  <si>
    <t>ELECTRON</t>
    <phoneticPr fontId="1"/>
  </si>
  <si>
    <t>imp01</t>
    <phoneticPr fontId="1"/>
  </si>
  <si>
    <t>imp02</t>
    <phoneticPr fontId="1"/>
  </si>
  <si>
    <t>imp03</t>
    <phoneticPr fontId="1"/>
  </si>
  <si>
    <t>imp04</t>
    <phoneticPr fontId="1"/>
  </si>
  <si>
    <t>imp05</t>
    <phoneticPr fontId="1"/>
  </si>
  <si>
    <t>imp06</t>
    <phoneticPr fontId="1"/>
  </si>
  <si>
    <t>imp07</t>
    <phoneticPr fontId="1"/>
  </si>
  <si>
    <t>imp08</t>
    <phoneticPr fontId="1"/>
  </si>
  <si>
    <t>imp09</t>
    <phoneticPr fontId="1"/>
  </si>
  <si>
    <t>imp10</t>
    <phoneticPr fontId="1"/>
  </si>
  <si>
    <t>imp11</t>
    <phoneticPr fontId="1"/>
  </si>
  <si>
    <t>imp12</t>
    <phoneticPr fontId="1"/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</si>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</sst>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37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</cellXfs>
  <cellStyles count="3"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000000"/>
      <color rgb="FFFFCCFF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 Extract1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サマリ!$B$4</c:f>
              <c:strCache>
                <c:ptCount val="1"/>
                <c:pt idx="0">
                  <c:v>toku1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サマリ!$B$5:$B$16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76-446C-922A-EC8BDC22E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toku2 Extract2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サマリ!$C$4</c:f>
              <c:strCache>
                <c:ptCount val="1"/>
                <c:pt idx="0">
                  <c:v>toku2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サマリ!$C$5:$C$16</c:f>
              <c:numCache>
                <c:formatCode>General</c:formatCode>
                <c:ptCount val="12"/>
                <c:pt idx="0">
                  <c:v>6.1600000000000002E-2</c:v>
                </c:pt>
                <c:pt idx="1">
                  <c:v>6.1800000000000001E-2</c:v>
                </c:pt>
                <c:pt idx="2">
                  <c:v>6.2E-2</c:v>
                </c:pt>
                <c:pt idx="3">
                  <c:v>6.2199999999999998E-2</c:v>
                </c:pt>
                <c:pt idx="4">
                  <c:v>6.2399999999999997E-2</c:v>
                </c:pt>
                <c:pt idx="5">
                  <c:v>6.2600000000000003E-2</c:v>
                </c:pt>
                <c:pt idx="6">
                  <c:v>6.2799999999999995E-2</c:v>
                </c:pt>
                <c:pt idx="7">
                  <c:v>6.3E-2</c:v>
                </c:pt>
                <c:pt idx="8">
                  <c:v>6.3200000000000006E-2</c:v>
                </c:pt>
                <c:pt idx="9">
                  <c:v>6.3399999999999998E-2</c:v>
                </c:pt>
                <c:pt idx="10">
                  <c:v>6.3600000000000004E-2</c:v>
                </c:pt>
                <c:pt idx="11">
                  <c:v>6.3799999999999996E-2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35-4AF2-83FA-D41D571D5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toku3 Extract3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サマリ!$D$4</c:f>
              <c:strCache>
                <c:ptCount val="1"/>
                <c:pt idx="0">
                  <c:v>toku3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サマリ!$D$5:$D$16</c:f>
              <c:numCache>
                <c:formatCode>General</c:formatCode>
                <c:ptCount val="12"/>
                <c:pt idx="0">
                  <c:v>0.23799999999999999</c:v>
                </c:pt>
                <c:pt idx="1">
                  <c:v>0.23799999999999999</c:v>
                </c:pt>
                <c:pt idx="2">
                  <c:v>0.23799999999999999</c:v>
                </c:pt>
                <c:pt idx="3">
                  <c:v>0.23799999999999999</c:v>
                </c:pt>
                <c:pt idx="4">
                  <c:v>0.23799999999999999</c:v>
                </c:pt>
                <c:pt idx="5">
                  <c:v>0.23799999999999999</c:v>
                </c:pt>
                <c:pt idx="6">
                  <c:v>0.23799999999999999</c:v>
                </c:pt>
                <c:pt idx="7">
                  <c:v>0.23799999999999999</c:v>
                </c:pt>
                <c:pt idx="8">
                  <c:v>0.23799999999999999</c:v>
                </c:pt>
                <c:pt idx="9">
                  <c:v>0.23799999999999999</c:v>
                </c:pt>
                <c:pt idx="10">
                  <c:v>0.23799999999999999</c:v>
                </c:pt>
                <c:pt idx="11">
                  <c:v>0.23799999999999999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A8-4D65-B0A4-BB16F585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tokuA Extract4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サマリ!$E$4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サマリ!$E$5:$E$16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9-4E7F-BA24-A06295839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tokuE Extract5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サマリ!$F$4</c:f>
              <c:strCache>
                <c:ptCount val="1"/>
                <c:pt idx="0">
                  <c:v>tokuE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サマリ!$F$5:$F$16</c:f>
              <c:numCache>
                <c:formatCode>General</c:formatCode>
                <c:ptCount val="12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  <c:pt idx="8">
                  <c:v>-27</c:v>
                </c:pt>
                <c:pt idx="9">
                  <c:v>-27</c:v>
                </c:pt>
                <c:pt idx="10">
                  <c:v>-27</c:v>
                </c:pt>
                <c:pt idx="11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A3-4C0D-B508-8F53A157F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tokuF Extract6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サマリ!$G$4</c:f>
              <c:strCache>
                <c:ptCount val="1"/>
                <c:pt idx="0">
                  <c:v>tokuF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サマリ!$G$5:$G$16</c:f>
              <c:numCache>
                <c:formatCode>General</c:formatCode>
                <c:ptCount val="12"/>
                <c:pt idx="0">
                  <c:v>1.1E-40</c:v>
                </c:pt>
                <c:pt idx="1">
                  <c:v>1.5000000000000001E-40</c:v>
                </c:pt>
                <c:pt idx="2">
                  <c:v>9.0000000000000002E-41</c:v>
                </c:pt>
                <c:pt idx="3">
                  <c:v>2.3E-40</c:v>
                </c:pt>
                <c:pt idx="4">
                  <c:v>2.7000000000000001E-40</c:v>
                </c:pt>
                <c:pt idx="5">
                  <c:v>3.1000000000000001E-40</c:v>
                </c:pt>
                <c:pt idx="6">
                  <c:v>3.5000000000000002E-40</c:v>
                </c:pt>
                <c:pt idx="7">
                  <c:v>3.8999999999999998E-40</c:v>
                </c:pt>
                <c:pt idx="8">
                  <c:v>4.3000000000000003E-40</c:v>
                </c:pt>
                <c:pt idx="9">
                  <c:v>4.6999999999999999E-40</c:v>
                </c:pt>
                <c:pt idx="10">
                  <c:v>5.1000000000000004E-40</c:v>
                </c:pt>
                <c:pt idx="11">
                  <c:v>5.5E-40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7-479B-87B8-208475F42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Extract7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サマリ!$H$4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サマリ!$H$5:$H$16</c:f>
              <c:numCache>
                <c:formatCode>General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AD-47BB-8C46-DAB21C3E4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サマリ!$I$4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サマリ!$I$5:$I$16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C9-4B82-84C0-8F238B6E1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ZTEST01 Extract11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サマリ!$J$4</c:f>
              <c:strCache>
                <c:ptCount val="1"/>
                <c:pt idx="0">
                  <c:v>ZTEST01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サマリ!$J$5:$J$16</c:f>
              <c:numCache>
                <c:formatCode>General</c:formatCode>
                <c:ptCount val="12"/>
                <c:pt idx="0">
                  <c:v>0.19</c:v>
                </c:pt>
                <c:pt idx="1">
                  <c:v>0.18</c:v>
                </c:pt>
                <c:pt idx="2">
                  <c:v>0.17</c:v>
                </c:pt>
                <c:pt idx="3">
                  <c:v>0.16</c:v>
                </c:pt>
                <c:pt idx="4">
                  <c:v>0.15</c:v>
                </c:pt>
                <c:pt idx="5">
                  <c:v>0.14000000000000001</c:v>
                </c:pt>
                <c:pt idx="6">
                  <c:v>0.13</c:v>
                </c:pt>
                <c:pt idx="7">
                  <c:v>0.12</c:v>
                </c:pt>
                <c:pt idx="8">
                  <c:v>0.11</c:v>
                </c:pt>
                <c:pt idx="9">
                  <c:v>0.1</c:v>
                </c:pt>
                <c:pt idx="10">
                  <c:v>9.0000000000000094E-2</c:v>
                </c:pt>
                <c:pt idx="11">
                  <c:v>8.0000000000000099E-2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7F-480F-B618-7253373B5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Qs01 Extract1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サマリ!$K$4</c:f>
              <c:strCache>
                <c:ptCount val="1"/>
                <c:pt idx="0">
                  <c:v>Qs01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サマリ!$K$5:$K$16</c:f>
              <c:numCache>
                <c:formatCode>General</c:formatCode>
                <c:ptCount val="12"/>
                <c:pt idx="0">
                  <c:v>0.38</c:v>
                </c:pt>
                <c:pt idx="1">
                  <c:v>0.38</c:v>
                </c:pt>
                <c:pt idx="2">
                  <c:v>0.38</c:v>
                </c:pt>
                <c:pt idx="3">
                  <c:v>0.38</c:v>
                </c:pt>
                <c:pt idx="4">
                  <c:v>0.38</c:v>
                </c:pt>
                <c:pt idx="5">
                  <c:v>0.38</c:v>
                </c:pt>
                <c:pt idx="6">
                  <c:v>0.38</c:v>
                </c:pt>
                <c:pt idx="7">
                  <c:v>0.38</c:v>
                </c:pt>
                <c:pt idx="8">
                  <c:v>0.38</c:v>
                </c:pt>
                <c:pt idx="9">
                  <c:v>0.38</c:v>
                </c:pt>
                <c:pt idx="10">
                  <c:v>0.38</c:v>
                </c:pt>
                <c:pt idx="11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14-4D2B-AF42-2135C9318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Qs02 Extract2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サマリ!$L$4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サマリ!$L$5:$L$16</c:f>
              <c:numCache>
                <c:formatCode>General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1-4482-96D9-8A8CA33E5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FFF-BE7C-8266FBD5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8-40F9-A7AC-61E7BCDDA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7-41A5-9142-76446AFC1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0-4E86-B3DE-D8B183EFB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cat>
            <c:strRef>
              <c:f>例_グラフ背景塗りつぶし!$M$4:$M$13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11F-4624-9E21-E9F1F6AD90A8}"/>
            </c:ext>
          </c:extLst>
        </c:ser>
        <c:ser>
          <c:idx val="3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cat>
            <c:strRef>
              <c:f>例_グラフ背景塗りつぶし!$M$4:$M$13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11F-4624-9E21-E9F1F6AD90A8}"/>
            </c:ext>
          </c:extLst>
        </c:ser>
        <c:ser>
          <c:idx val="1"/>
          <c:order val="2"/>
          <c:cat>
            <c:strRef>
              <c:f>例_グラフ背景塗りつぶし!$M$4:$M$13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11F-4624-9E21-E9F1F6AD90A8}"/>
            </c:ext>
          </c:extLst>
        </c:ser>
        <c:ser>
          <c:idx val="0"/>
          <c:order val="3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例_グラフ背景塗りつぶし!$M$4:$M$13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11F-4624-9E21-E9F1F6AD9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732632"/>
        <c:axId val="461731976"/>
      </c:lineChart>
      <c:catAx>
        <c:axId val="461732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1731976"/>
        <c:crosses val="autoZero"/>
        <c:auto val="1"/>
        <c:lblAlgn val="ctr"/>
        <c:lblOffset val="100"/>
        <c:noMultiLvlLbl val="0"/>
      </c:catAx>
      <c:valAx>
        <c:axId val="46173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173263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例_グラフ背景塗りつぶし!$AB$4:$AB$13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例_グラフ背景塗りつぶし!$AD$4:$AD$13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例_グラフ背景塗りつぶし!$AB$4:$AB$13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例_グラフ背景塗りつぶし!$AE$4:$AE$13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例_グラフ背景塗りつぶし!$AB$4:$AB$13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例_グラフ背景塗りつぶし!$AF$4:$AF$13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例_グラフ背景塗りつぶし!$AB$4:$AB$13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例_グラフ背景塗りつぶし!$AC$4:$AC$13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6" noThreeD="1" sel="3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image" Target="../media/image1.emf"/><Relationship Id="rId4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</xdr:row>
          <xdr:rowOff>9525</xdr:rowOff>
        </xdr:from>
        <xdr:to>
          <xdr:col>17</xdr:col>
          <xdr:colOff>76200</xdr:colOff>
          <xdr:row>2</xdr:row>
          <xdr:rowOff>57150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DEBUG_散布図グラフ作成実行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7</xdr:col>
      <xdr:colOff>457200</xdr:colOff>
      <xdr:row>15</xdr:row>
      <xdr:rowOff>123824</xdr:rowOff>
    </xdr:to>
    <xdr:graphicFrame macro="">
      <xdr:nvGraphicFramePr>
        <xdr:cNvPr id="48" name="graph_sumary_1">
          <a:extLst>
            <a:ext uri="{FF2B5EF4-FFF2-40B4-BE49-F238E27FC236}">
              <a16:creationId xmlns:a16="http://schemas.microsoft.com/office/drawing/2014/main" id="{CE0BB993-E092-455E-8388-D6AEEE5208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49" name="graph_summary_2">
          <a:extLst>
            <a:ext uri="{FF2B5EF4-FFF2-40B4-BE49-F238E27FC236}">
              <a16:creationId xmlns:a16="http://schemas.microsoft.com/office/drawing/2014/main" id="{AE147129-6B4C-4237-A44E-5926F68BED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50" name="graph_summary_3">
          <a:extLst>
            <a:ext uri="{FF2B5EF4-FFF2-40B4-BE49-F238E27FC236}">
              <a16:creationId xmlns:a16="http://schemas.microsoft.com/office/drawing/2014/main" id="{CA256454-43DF-4C96-AFE2-85942A8144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1" name="graph_summary_4">
          <a:extLst>
            <a:ext uri="{FF2B5EF4-FFF2-40B4-BE49-F238E27FC236}">
              <a16:creationId xmlns:a16="http://schemas.microsoft.com/office/drawing/2014/main" id="{78835C4D-8929-498D-B8FB-B7E9DE4F0B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59</xdr:row>
      <xdr:rowOff>0</xdr:rowOff>
    </xdr:from>
    <xdr:to>
      <xdr:col>7</xdr:col>
      <xdr:colOff>457200</xdr:colOff>
      <xdr:row>70</xdr:row>
      <xdr:rowOff>123824</xdr:rowOff>
    </xdr:to>
    <xdr:graphicFrame macro="">
      <xdr:nvGraphicFramePr>
        <xdr:cNvPr id="52" name="graph_summary_5">
          <a:extLst>
            <a:ext uri="{FF2B5EF4-FFF2-40B4-BE49-F238E27FC236}">
              <a16:creationId xmlns:a16="http://schemas.microsoft.com/office/drawing/2014/main" id="{AC7900A5-B9AE-4E0B-9D7E-0998A0463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7</xdr:col>
      <xdr:colOff>457200</xdr:colOff>
      <xdr:row>85</xdr:row>
      <xdr:rowOff>123824</xdr:rowOff>
    </xdr:to>
    <xdr:graphicFrame macro="">
      <xdr:nvGraphicFramePr>
        <xdr:cNvPr id="53" name="graph_summary_6">
          <a:extLst>
            <a:ext uri="{FF2B5EF4-FFF2-40B4-BE49-F238E27FC236}">
              <a16:creationId xmlns:a16="http://schemas.microsoft.com/office/drawing/2014/main" id="{5A043B2F-8749-4FB1-99F1-4214020539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7</xdr:col>
      <xdr:colOff>457200</xdr:colOff>
      <xdr:row>100</xdr:row>
      <xdr:rowOff>123824</xdr:rowOff>
    </xdr:to>
    <xdr:graphicFrame macro="">
      <xdr:nvGraphicFramePr>
        <xdr:cNvPr id="54" name="graph_summary_7">
          <a:extLst>
            <a:ext uri="{FF2B5EF4-FFF2-40B4-BE49-F238E27FC236}">
              <a16:creationId xmlns:a16="http://schemas.microsoft.com/office/drawing/2014/main" id="{543DB795-1985-4CF8-B8A7-044DE59EAD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104</xdr:row>
      <xdr:rowOff>0</xdr:rowOff>
    </xdr:from>
    <xdr:to>
      <xdr:col>7</xdr:col>
      <xdr:colOff>457200</xdr:colOff>
      <xdr:row>115</xdr:row>
      <xdr:rowOff>123824</xdr:rowOff>
    </xdr:to>
    <xdr:graphicFrame macro="">
      <xdr:nvGraphicFramePr>
        <xdr:cNvPr id="55" name="graph_summary_8">
          <a:extLst>
            <a:ext uri="{FF2B5EF4-FFF2-40B4-BE49-F238E27FC236}">
              <a16:creationId xmlns:a16="http://schemas.microsoft.com/office/drawing/2014/main" id="{7F5B79B4-348F-4B41-A034-FB788856D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119</xdr:row>
      <xdr:rowOff>0</xdr:rowOff>
    </xdr:from>
    <xdr:to>
      <xdr:col>7</xdr:col>
      <xdr:colOff>457200</xdr:colOff>
      <xdr:row>130</xdr:row>
      <xdr:rowOff>123824</xdr:rowOff>
    </xdr:to>
    <xdr:graphicFrame macro="">
      <xdr:nvGraphicFramePr>
        <xdr:cNvPr id="56" name="graph_summary_9">
          <a:extLst>
            <a:ext uri="{FF2B5EF4-FFF2-40B4-BE49-F238E27FC236}">
              <a16:creationId xmlns:a16="http://schemas.microsoft.com/office/drawing/2014/main" id="{7912FDC3-D59F-4F90-98AA-EDBC57BA90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134</xdr:row>
      <xdr:rowOff>0</xdr:rowOff>
    </xdr:from>
    <xdr:to>
      <xdr:col>7</xdr:col>
      <xdr:colOff>457200</xdr:colOff>
      <xdr:row>145</xdr:row>
      <xdr:rowOff>123824</xdr:rowOff>
    </xdr:to>
    <xdr:graphicFrame macro="">
      <xdr:nvGraphicFramePr>
        <xdr:cNvPr id="57" name="graph_summary_10">
          <a:extLst>
            <a:ext uri="{FF2B5EF4-FFF2-40B4-BE49-F238E27FC236}">
              <a16:creationId xmlns:a16="http://schemas.microsoft.com/office/drawing/2014/main" id="{956E268D-1CCE-40B3-BD55-84A74658A2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149</xdr:row>
      <xdr:rowOff>0</xdr:rowOff>
    </xdr:from>
    <xdr:to>
      <xdr:col>7</xdr:col>
      <xdr:colOff>457200</xdr:colOff>
      <xdr:row>160</xdr:row>
      <xdr:rowOff>123824</xdr:rowOff>
    </xdr:to>
    <xdr:graphicFrame macro="">
      <xdr:nvGraphicFramePr>
        <xdr:cNvPr id="58" name="graph_summary_11">
          <a:extLst>
            <a:ext uri="{FF2B5EF4-FFF2-40B4-BE49-F238E27FC236}">
              <a16:creationId xmlns:a16="http://schemas.microsoft.com/office/drawing/2014/main" id="{0F588DB1-33B0-473D-A25A-2CD14EBFC4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B8ED2BD4-DC20-4C8A-88AB-6C9600F1C1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114300</xdr:colOff>
      <xdr:row>13</xdr:row>
      <xdr:rowOff>204787</xdr:rowOff>
    </xdr:from>
    <xdr:to>
      <xdr:col>17</xdr:col>
      <xdr:colOff>571500</xdr:colOff>
      <xdr:row>25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3E84D88-B9EF-49E9-9751-E908009A24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557212</xdr:colOff>
      <xdr:row>13</xdr:row>
      <xdr:rowOff>204787</xdr:rowOff>
    </xdr:from>
    <xdr:to>
      <xdr:col>25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BC117BA3-CB0F-419A-A4EB-E8859F756B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319087</xdr:colOff>
      <xdr:row>13</xdr:row>
      <xdr:rowOff>176212</xdr:rowOff>
    </xdr:from>
    <xdr:to>
      <xdr:col>33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C743CC38-E7A2-48CA-B0F5-D9AF8DB4A1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11AF81E-7989-4D69-B242-14A1806532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44365EE-5F8F-479A-B75D-3C74E6B82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8B25211-B7C7-42D4-B263-87D06B4C06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104C3EFA-8D01-48CA-96B8-4C93409964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_&#21442;&#32771;_VBA-Tips/_&#21442;&#32771;_VBA_&#12464;&#12521;&#12501;&#32972;&#26223;&#12398;&#19968;&#37096;&#12395;&#33394;&#12434;&#20184;&#12369;&#12427;/nx5-21/nx5-21-b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_&#21442;&#32771;_VBA-Tips/_&#21442;&#32771;_VBA_&#12464;&#12521;&#12501;&#32972;&#26223;&#12398;&#19968;&#37096;&#12395;&#33394;&#12434;&#20184;&#12369;&#12427;/nx5-21/nx5-21-b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1月</v>
          </cell>
          <cell r="C1" t="str">
            <v>2月</v>
          </cell>
          <cell r="D1" t="str">
            <v>3月</v>
          </cell>
          <cell r="E1" t="str">
            <v>4月</v>
          </cell>
          <cell r="F1" t="str">
            <v>5月</v>
          </cell>
          <cell r="G1" t="str">
            <v>6月</v>
          </cell>
          <cell r="H1" t="str">
            <v>7月</v>
          </cell>
          <cell r="I1" t="str">
            <v>8月</v>
          </cell>
          <cell r="J1" t="str">
            <v>9月</v>
          </cell>
          <cell r="K1" t="str">
            <v>10月</v>
          </cell>
          <cell r="L1" t="str">
            <v>11月</v>
          </cell>
          <cell r="M1" t="str">
            <v>12月</v>
          </cell>
        </row>
        <row r="2">
          <cell r="B2">
            <v>137000</v>
          </cell>
          <cell r="C2">
            <v>165000</v>
          </cell>
          <cell r="D2">
            <v>107000</v>
          </cell>
          <cell r="E2">
            <v>145000</v>
          </cell>
          <cell r="F2">
            <v>190000</v>
          </cell>
          <cell r="G2">
            <v>115000</v>
          </cell>
          <cell r="H2">
            <v>161000</v>
          </cell>
          <cell r="I2">
            <v>131000</v>
          </cell>
          <cell r="J2">
            <v>129000</v>
          </cell>
          <cell r="K2">
            <v>115000</v>
          </cell>
          <cell r="L2">
            <v>183000</v>
          </cell>
          <cell r="M2">
            <v>183000</v>
          </cell>
        </row>
        <row r="3">
          <cell r="E3">
            <v>200000</v>
          </cell>
          <cell r="F3">
            <v>200000</v>
          </cell>
          <cell r="G3">
            <v>200000</v>
          </cell>
        </row>
        <row r="4">
          <cell r="K4">
            <v>200000</v>
          </cell>
          <cell r="L4">
            <v>200000</v>
          </cell>
          <cell r="M4">
            <v>200000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1月</v>
          </cell>
          <cell r="C1" t="str">
            <v>2月</v>
          </cell>
          <cell r="D1" t="str">
            <v>3月</v>
          </cell>
          <cell r="E1" t="str">
            <v>4月</v>
          </cell>
          <cell r="F1" t="str">
            <v>5月</v>
          </cell>
          <cell r="G1" t="str">
            <v>6月</v>
          </cell>
          <cell r="H1" t="str">
            <v>7月</v>
          </cell>
          <cell r="I1" t="str">
            <v>8月</v>
          </cell>
          <cell r="J1" t="str">
            <v>9月</v>
          </cell>
          <cell r="K1" t="str">
            <v>10月</v>
          </cell>
          <cell r="L1" t="str">
            <v>11月</v>
          </cell>
          <cell r="M1" t="str">
            <v>12月</v>
          </cell>
        </row>
        <row r="2">
          <cell r="B2">
            <v>137000</v>
          </cell>
          <cell r="C2">
            <v>165000</v>
          </cell>
          <cell r="D2">
            <v>107000</v>
          </cell>
          <cell r="E2">
            <v>145000</v>
          </cell>
          <cell r="F2">
            <v>190000</v>
          </cell>
          <cell r="G2">
            <v>115000</v>
          </cell>
          <cell r="H2">
            <v>161000</v>
          </cell>
          <cell r="I2">
            <v>131000</v>
          </cell>
          <cell r="J2">
            <v>129000</v>
          </cell>
          <cell r="K2">
            <v>115000</v>
          </cell>
          <cell r="L2">
            <v>183000</v>
          </cell>
          <cell r="M2">
            <v>183000</v>
          </cell>
        </row>
        <row r="3">
          <cell r="B3">
            <v>100000</v>
          </cell>
          <cell r="C3">
            <v>100000</v>
          </cell>
          <cell r="D3">
            <v>100000</v>
          </cell>
          <cell r="E3">
            <v>100000</v>
          </cell>
          <cell r="F3">
            <v>100000</v>
          </cell>
          <cell r="G3">
            <v>100000</v>
          </cell>
          <cell r="H3">
            <v>100000</v>
          </cell>
          <cell r="I3">
            <v>100000</v>
          </cell>
          <cell r="J3">
            <v>100000</v>
          </cell>
          <cell r="K3">
            <v>100000</v>
          </cell>
          <cell r="L3">
            <v>100000</v>
          </cell>
          <cell r="M3">
            <v>100000</v>
          </cell>
        </row>
        <row r="4">
          <cell r="B4">
            <v>50000</v>
          </cell>
          <cell r="C4">
            <v>50000</v>
          </cell>
          <cell r="D4">
            <v>50000</v>
          </cell>
          <cell r="E4">
            <v>50000</v>
          </cell>
          <cell r="F4">
            <v>50000</v>
          </cell>
          <cell r="G4">
            <v>50000</v>
          </cell>
          <cell r="H4">
            <v>50000</v>
          </cell>
          <cell r="I4">
            <v>50000</v>
          </cell>
          <cell r="J4">
            <v>50000</v>
          </cell>
          <cell r="K4">
            <v>50000</v>
          </cell>
          <cell r="L4">
            <v>50000</v>
          </cell>
          <cell r="M4">
            <v>50000</v>
          </cell>
        </row>
        <row r="5">
          <cell r="B5">
            <v>50000</v>
          </cell>
          <cell r="C5">
            <v>50000</v>
          </cell>
          <cell r="D5">
            <v>50000</v>
          </cell>
          <cell r="E5">
            <v>50000</v>
          </cell>
          <cell r="F5">
            <v>50000</v>
          </cell>
          <cell r="G5">
            <v>50000</v>
          </cell>
          <cell r="H5">
            <v>50000</v>
          </cell>
          <cell r="I5">
            <v>50000</v>
          </cell>
          <cell r="J5">
            <v>50000</v>
          </cell>
          <cell r="K5">
            <v>50000</v>
          </cell>
          <cell r="L5">
            <v>50000</v>
          </cell>
          <cell r="M5">
            <v>50000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workbookViewId="0">
      <selection activeCell="H10" sqref="H10"/>
    </sheetView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64</v>
      </c>
    </row>
    <row r="2" spans="1:22">
      <c r="A2" s="13" t="s">
        <v>65</v>
      </c>
    </row>
    <row r="4" spans="1:22">
      <c r="E4" s="13" t="s">
        <v>130</v>
      </c>
    </row>
    <row r="5" spans="1:22">
      <c r="E5" s="13" t="s">
        <v>145</v>
      </c>
    </row>
    <row r="7" spans="1:22">
      <c r="E7" s="13" t="s">
        <v>131</v>
      </c>
    </row>
    <row r="9" spans="1:22">
      <c r="E9" s="13" t="s">
        <v>132</v>
      </c>
    </row>
    <row r="10" spans="1:22" ht="45.75" customHeight="1"/>
    <row r="11" spans="1:22" ht="45.75" customHeight="1"/>
    <row r="12" spans="1:22">
      <c r="A12" s="29" t="s">
        <v>63</v>
      </c>
      <c r="B12" s="28"/>
      <c r="C12" s="28"/>
      <c r="D12" s="28" t="s">
        <v>66</v>
      </c>
      <c r="E12" s="28"/>
      <c r="F12" s="28"/>
      <c r="I12" s="28"/>
      <c r="J12" s="28" t="s">
        <v>112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2">
      <c r="A13" s="28"/>
      <c r="B13" s="28"/>
      <c r="C13" s="28"/>
      <c r="D13" s="28" t="s">
        <v>111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2">
      <c r="A14" s="28"/>
      <c r="B14" s="28">
        <v>3</v>
      </c>
      <c r="C14" s="28"/>
      <c r="D14" s="30"/>
      <c r="E14" s="31" t="s">
        <v>0</v>
      </c>
      <c r="F14" s="31" t="s">
        <v>117</v>
      </c>
      <c r="G14" s="28"/>
      <c r="H14" s="28"/>
      <c r="J14" s="16" t="s">
        <v>114</v>
      </c>
      <c r="K14" s="16" t="s">
        <v>113</v>
      </c>
      <c r="L14" s="16" t="s">
        <v>114</v>
      </c>
      <c r="M14" s="16" t="s">
        <v>106</v>
      </c>
      <c r="N14" s="16" t="s">
        <v>114</v>
      </c>
      <c r="O14" s="16" t="s">
        <v>107</v>
      </c>
      <c r="P14" s="16" t="s">
        <v>114</v>
      </c>
      <c r="Q14" s="16" t="s">
        <v>108</v>
      </c>
      <c r="R14" s="16" t="s">
        <v>114</v>
      </c>
      <c r="S14" s="16" t="s">
        <v>109</v>
      </c>
      <c r="V14" s="28"/>
    </row>
    <row r="15" spans="1:22">
      <c r="A15" s="28"/>
      <c r="B15" s="28"/>
      <c r="C15" s="28"/>
      <c r="D15" s="14" t="s">
        <v>115</v>
      </c>
      <c r="E15" s="14" t="s">
        <v>84</v>
      </c>
      <c r="F15" s="14" t="s">
        <v>24</v>
      </c>
      <c r="G15" s="28"/>
      <c r="H15" s="28"/>
      <c r="J15" s="14"/>
      <c r="K15" s="14">
        <v>1100000000000</v>
      </c>
      <c r="L15" s="14"/>
      <c r="M15" s="14">
        <v>5200000000000</v>
      </c>
      <c r="N15" s="14"/>
      <c r="O15" s="14">
        <v>1</v>
      </c>
      <c r="P15" s="14"/>
      <c r="Q15" s="14">
        <v>311000000000</v>
      </c>
      <c r="R15" s="14"/>
      <c r="S15" s="14">
        <v>-1.1000000000000001</v>
      </c>
      <c r="V15" s="28"/>
    </row>
    <row r="16" spans="1:22">
      <c r="A16" s="28"/>
      <c r="B16" s="28"/>
      <c r="C16" s="28"/>
      <c r="D16" s="14" t="s">
        <v>115</v>
      </c>
      <c r="E16" s="14" t="s">
        <v>68</v>
      </c>
      <c r="F16" s="14" t="s">
        <v>24</v>
      </c>
      <c r="G16" s="28"/>
      <c r="H16" s="28"/>
      <c r="J16" s="14"/>
      <c r="K16" s="14">
        <v>1200000000000</v>
      </c>
      <c r="L16" s="14"/>
      <c r="M16" s="14">
        <v>5300000000000</v>
      </c>
      <c r="N16" s="14"/>
      <c r="O16" s="14">
        <v>2</v>
      </c>
      <c r="P16" s="14"/>
      <c r="Q16" s="14">
        <v>330000000000</v>
      </c>
      <c r="R16" s="14"/>
      <c r="S16" s="14">
        <v>-1.2</v>
      </c>
      <c r="V16" s="28"/>
    </row>
    <row r="17" spans="1:22">
      <c r="A17" s="28"/>
      <c r="B17" s="28"/>
      <c r="C17" s="28"/>
      <c r="D17" s="14" t="s">
        <v>115</v>
      </c>
      <c r="E17" s="14" t="s">
        <v>70</v>
      </c>
      <c r="F17" s="14" t="s">
        <v>24</v>
      </c>
      <c r="G17" s="28"/>
      <c r="H17" s="28"/>
      <c r="J17" s="14"/>
      <c r="K17" s="14"/>
      <c r="L17" s="14"/>
      <c r="M17" s="14">
        <v>5400000000000</v>
      </c>
      <c r="N17" s="14"/>
      <c r="O17" s="14">
        <v>3</v>
      </c>
      <c r="P17" s="14"/>
      <c r="Q17" s="14"/>
      <c r="R17" s="14"/>
      <c r="S17" s="14"/>
      <c r="V17" s="28"/>
    </row>
    <row r="18" spans="1:22">
      <c r="A18" s="28"/>
      <c r="B18" s="28"/>
      <c r="C18" s="28"/>
      <c r="D18" s="14" t="s">
        <v>115</v>
      </c>
      <c r="E18" s="14" t="s">
        <v>74</v>
      </c>
      <c r="F18" s="14" t="s">
        <v>118</v>
      </c>
      <c r="G18" s="28"/>
      <c r="H18" s="28"/>
      <c r="V18" s="28"/>
    </row>
    <row r="19" spans="1:22">
      <c r="A19" s="28"/>
      <c r="B19" s="28"/>
      <c r="C19" s="28"/>
      <c r="D19" s="14" t="s">
        <v>115</v>
      </c>
      <c r="E19" s="14" t="s">
        <v>85</v>
      </c>
      <c r="F19" s="14" t="s">
        <v>119</v>
      </c>
      <c r="G19" s="28"/>
      <c r="H19" s="28"/>
      <c r="V19" s="28"/>
    </row>
    <row r="20" spans="1:22">
      <c r="G20" s="28"/>
      <c r="H20" s="28"/>
      <c r="V20" s="28"/>
    </row>
  </sheetData>
  <phoneticPr fontId="1"/>
  <dataValidations count="1">
    <dataValidation type="list" allowBlank="1" showInputMessage="1" showErrorMessage="1" sqref="D14:D19 J15:J18 L15:L18 N15:N18 P15:P18 R15:R18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Button_DEBUG_jikkou_scatter_Click">
                <anchor moveWithCells="1" sizeWithCells="1">
                  <from>
                    <xdr:col>12</xdr:col>
                    <xdr:colOff>171450</xdr:colOff>
                    <xdr:row>1</xdr:row>
                    <xdr:rowOff>9525</xdr:rowOff>
                  </from>
                  <to>
                    <xdr:col>17</xdr:col>
                    <xdr:colOff>76200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7A9B-8C5F-47F8-B7DA-BBA43ED381AC}">
  <sheetPr codeName="Sheet11">
    <tabColor theme="9"/>
  </sheetPr>
  <dimension ref="A1:H6"/>
  <sheetViews>
    <sheetView workbookViewId="0">
      <selection activeCell="H15" sqref="H15"/>
    </sheetView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117</v>
      </c>
      <c r="F1" s="2" t="s">
        <v>8</v>
      </c>
      <c r="G1" s="2" t="s">
        <v>9</v>
      </c>
      <c r="H1" s="2" t="s">
        <v>10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30</v>
      </c>
      <c r="F2" s="2"/>
      <c r="G2" s="2"/>
      <c r="H2" s="2"/>
    </row>
    <row r="3" spans="1:8">
      <c r="A3" t="s">
        <v>69</v>
      </c>
      <c r="B3" s="2"/>
      <c r="C3" s="2" t="s">
        <v>6</v>
      </c>
      <c r="D3" s="2">
        <v>-0.16200000000000001</v>
      </c>
      <c r="E3" s="2" t="s">
        <v>24</v>
      </c>
      <c r="F3" s="2"/>
      <c r="G3" s="2"/>
      <c r="H3" s="2"/>
    </row>
    <row r="4" spans="1:8">
      <c r="A4" t="s">
        <v>71</v>
      </c>
      <c r="B4" s="2">
        <v>-0.33</v>
      </c>
      <c r="C4" s="2" t="s">
        <v>6</v>
      </c>
      <c r="D4" s="2"/>
      <c r="E4" s="2" t="s">
        <v>24</v>
      </c>
      <c r="F4" s="2"/>
      <c r="G4" s="2"/>
      <c r="H4" s="2"/>
    </row>
    <row r="5" spans="1:8">
      <c r="A5" t="s">
        <v>7</v>
      </c>
      <c r="B5" s="2"/>
      <c r="C5" s="2" t="s">
        <v>6</v>
      </c>
      <c r="D5" s="3">
        <v>802000000000</v>
      </c>
      <c r="E5" s="2" t="s">
        <v>118</v>
      </c>
      <c r="F5" s="2"/>
      <c r="G5" s="2"/>
      <c r="H5" s="2" t="s">
        <v>11</v>
      </c>
    </row>
    <row r="6" spans="1:8">
      <c r="A6" t="s">
        <v>83</v>
      </c>
      <c r="B6" s="2"/>
      <c r="C6" s="2" t="s">
        <v>6</v>
      </c>
      <c r="D6" s="2">
        <v>20000</v>
      </c>
      <c r="E6" s="2" t="s">
        <v>119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I7"/>
  <sheetViews>
    <sheetView workbookViewId="0">
      <selection sqref="A1:I7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139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140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141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142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143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144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B2F43-6F7C-4715-8051-3524AB55651D}">
  <sheetPr codeName="Sheet17">
    <tabColor theme="9"/>
  </sheetPr>
  <dimension ref="A1:Q16"/>
  <sheetViews>
    <sheetView workbookViewId="0">
      <selection activeCell="F1" sqref="F1:I4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2D599-95D0-4583-BFA3-C8C4F7CE55D0}">
  <sheetPr codeName="Sheet7">
    <tabColor theme="9"/>
  </sheetPr>
  <dimension ref="A1:Q16"/>
  <sheetViews>
    <sheetView workbookViewId="0"/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L16"/>
  <sheetViews>
    <sheetView topLeftCell="A103" zoomScale="85" zoomScaleNormal="85" workbookViewId="0">
      <selection activeCell="N112" sqref="N112"/>
    </sheetView>
  </sheetViews>
  <sheetFormatPr defaultRowHeight="18.75"/>
  <sheetData>
    <row r="1" spans="1:12">
      <c r="A1" t="s">
        <v>152</v>
      </c>
      <c r="B1" t="s">
        <v>153</v>
      </c>
      <c r="C1" t="s">
        <v>154</v>
      </c>
      <c r="D1" t="s">
        <v>154</v>
      </c>
      <c r="E1" t="s">
        <v>154</v>
      </c>
      <c r="F1" t="s">
        <v>154</v>
      </c>
      <c r="G1" t="s">
        <v>154</v>
      </c>
      <c r="H1" t="s">
        <v>153</v>
      </c>
      <c r="I1" t="s">
        <v>153</v>
      </c>
      <c r="J1" t="s">
        <v>154</v>
      </c>
      <c r="K1" t="s">
        <v>155</v>
      </c>
      <c r="L1" t="s">
        <v>155</v>
      </c>
    </row>
    <row r="2" spans="1:12">
      <c r="A2" t="s">
        <v>156</v>
      </c>
      <c r="B2" t="s">
        <v>157</v>
      </c>
      <c r="C2" t="s">
        <v>158</v>
      </c>
      <c r="D2" t="s">
        <v>159</v>
      </c>
      <c r="E2" t="s">
        <v>160</v>
      </c>
      <c r="F2" t="s">
        <v>161</v>
      </c>
      <c r="G2" t="s">
        <v>162</v>
      </c>
      <c r="H2" t="s">
        <v>163</v>
      </c>
      <c r="I2" t="s">
        <v>164</v>
      </c>
      <c r="J2" t="s">
        <v>165</v>
      </c>
      <c r="K2" t="s">
        <v>157</v>
      </c>
      <c r="L2" t="s">
        <v>158</v>
      </c>
    </row>
    <row r="3" spans="1:12">
      <c r="A3" t="s">
        <v>178</v>
      </c>
      <c r="B3" t="s">
        <v>179</v>
      </c>
      <c r="C3" t="s">
        <v>180</v>
      </c>
      <c r="D3" t="s">
        <v>180</v>
      </c>
      <c r="E3" t="s">
        <v>181</v>
      </c>
      <c r="F3" t="s">
        <v>182</v>
      </c>
      <c r="G3" t="s">
        <v>183</v>
      </c>
      <c r="H3" t="s">
        <v>179</v>
      </c>
      <c r="I3" t="s">
        <v>179</v>
      </c>
      <c r="J3" t="s">
        <v>179</v>
      </c>
      <c r="K3" t="s">
        <v>155</v>
      </c>
      <c r="L3" t="s">
        <v>155</v>
      </c>
    </row>
    <row r="4" spans="1:12">
      <c r="A4" t="s">
        <v>166</v>
      </c>
      <c r="B4" t="s">
        <v>167</v>
      </c>
      <c r="C4" t="s">
        <v>168</v>
      </c>
      <c r="D4" t="s">
        <v>169</v>
      </c>
      <c r="E4" t="s">
        <v>170</v>
      </c>
      <c r="F4" t="s">
        <v>171</v>
      </c>
      <c r="G4" t="s">
        <v>172</v>
      </c>
      <c r="H4" t="s">
        <v>173</v>
      </c>
      <c r="I4" t="s">
        <v>174</v>
      </c>
      <c r="J4" t="s">
        <v>175</v>
      </c>
      <c r="K4" t="s">
        <v>176</v>
      </c>
      <c r="L4" t="s">
        <v>177</v>
      </c>
    </row>
    <row r="5" spans="1:12">
      <c r="A5" t="s">
        <v>184</v>
      </c>
      <c r="B5">
        <v>0.64900000000000002</v>
      </c>
      <c r="C5">
        <v>6.1600000000000002E-2</v>
      </c>
      <c r="D5">
        <v>0.23799999999999999</v>
      </c>
      <c r="E5">
        <v>2.33</v>
      </c>
      <c r="F5">
        <v>-27</v>
      </c>
      <c r="G5">
        <v>1.1E-40</v>
      </c>
      <c r="H5">
        <v>2.29</v>
      </c>
      <c r="I5">
        <v>0.2</v>
      </c>
      <c r="J5">
        <v>0.19</v>
      </c>
      <c r="K5">
        <v>0.38</v>
      </c>
      <c r="L5">
        <v>0.4</v>
      </c>
    </row>
    <row r="6" spans="1:12">
      <c r="A6" t="s">
        <v>185</v>
      </c>
      <c r="B6">
        <v>0.65100000000000002</v>
      </c>
      <c r="C6">
        <v>6.1800000000000001E-2</v>
      </c>
      <c r="D6">
        <v>0.23799999999999999</v>
      </c>
      <c r="E6">
        <v>2.23</v>
      </c>
      <c r="F6">
        <v>-27</v>
      </c>
      <c r="G6">
        <v>1.5000000000000001E-40</v>
      </c>
      <c r="H6">
        <v>2.31</v>
      </c>
      <c r="I6">
        <v>0.2</v>
      </c>
      <c r="J6">
        <v>0.18</v>
      </c>
      <c r="K6">
        <v>0.38</v>
      </c>
      <c r="L6">
        <v>0.40100000000000002</v>
      </c>
    </row>
    <row r="7" spans="1:12">
      <c r="A7" t="s">
        <v>186</v>
      </c>
      <c r="B7">
        <v>0.65300000000000002</v>
      </c>
      <c r="C7">
        <v>6.2E-2</v>
      </c>
      <c r="D7">
        <v>0.23799999999999999</v>
      </c>
      <c r="E7">
        <v>2.13</v>
      </c>
      <c r="F7">
        <v>-27</v>
      </c>
      <c r="G7">
        <v>9.0000000000000002E-41</v>
      </c>
      <c r="H7">
        <v>2.33</v>
      </c>
      <c r="I7">
        <v>0.2</v>
      </c>
      <c r="J7">
        <v>0.17</v>
      </c>
      <c r="K7">
        <v>0.38</v>
      </c>
      <c r="L7">
        <v>0.39800000000000002</v>
      </c>
    </row>
    <row r="8" spans="1:12">
      <c r="A8" t="s">
        <v>187</v>
      </c>
      <c r="B8">
        <v>0.65500000000000003</v>
      </c>
      <c r="C8">
        <v>6.2199999999999998E-2</v>
      </c>
      <c r="D8">
        <v>0.23799999999999999</v>
      </c>
      <c r="E8">
        <v>2.0299999999999998</v>
      </c>
      <c r="F8">
        <v>-27</v>
      </c>
      <c r="G8">
        <v>2.3E-40</v>
      </c>
      <c r="H8">
        <v>2.35</v>
      </c>
      <c r="I8">
        <v>0.2</v>
      </c>
      <c r="J8">
        <v>0.16</v>
      </c>
      <c r="K8">
        <v>0.38</v>
      </c>
      <c r="L8">
        <v>0.397666666666667</v>
      </c>
    </row>
    <row r="9" spans="1:12">
      <c r="A9" t="s">
        <v>188</v>
      </c>
      <c r="B9">
        <v>0.65700000000000003</v>
      </c>
      <c r="C9">
        <v>6.2399999999999997E-2</v>
      </c>
      <c r="D9">
        <v>0.23799999999999999</v>
      </c>
      <c r="E9">
        <v>1.93</v>
      </c>
      <c r="F9">
        <v>-27</v>
      </c>
      <c r="G9">
        <v>2.7000000000000001E-40</v>
      </c>
      <c r="H9">
        <v>2.37</v>
      </c>
      <c r="I9">
        <v>0.2</v>
      </c>
      <c r="J9">
        <v>0.15</v>
      </c>
      <c r="K9">
        <v>0.38</v>
      </c>
      <c r="L9">
        <v>0.396666666666667</v>
      </c>
    </row>
    <row r="10" spans="1:12">
      <c r="A10" t="s">
        <v>189</v>
      </c>
      <c r="B10">
        <v>0.65900000000000003</v>
      </c>
      <c r="C10">
        <v>6.2600000000000003E-2</v>
      </c>
      <c r="D10">
        <v>0.23799999999999999</v>
      </c>
      <c r="E10">
        <v>1.83</v>
      </c>
      <c r="F10">
        <v>-27</v>
      </c>
      <c r="G10">
        <v>3.1000000000000001E-40</v>
      </c>
      <c r="H10">
        <v>2.39</v>
      </c>
      <c r="I10">
        <v>0.2</v>
      </c>
      <c r="J10">
        <v>0.14000000000000001</v>
      </c>
      <c r="K10">
        <v>0.38</v>
      </c>
      <c r="L10">
        <v>0.395666666666667</v>
      </c>
    </row>
    <row r="11" spans="1:12">
      <c r="A11" t="s">
        <v>190</v>
      </c>
      <c r="B11">
        <v>0.66100000000000003</v>
      </c>
      <c r="C11">
        <v>6.2799999999999995E-2</v>
      </c>
      <c r="D11">
        <v>0.23799999999999999</v>
      </c>
      <c r="E11">
        <v>1.73</v>
      </c>
      <c r="F11">
        <v>-27</v>
      </c>
      <c r="G11">
        <v>3.5000000000000002E-40</v>
      </c>
      <c r="H11">
        <v>2.41</v>
      </c>
      <c r="I11">
        <v>0.2</v>
      </c>
      <c r="J11">
        <v>0.13</v>
      </c>
      <c r="K11">
        <v>0.38</v>
      </c>
      <c r="L11">
        <v>0.394666666666667</v>
      </c>
    </row>
    <row r="12" spans="1:12">
      <c r="A12" t="s">
        <v>191</v>
      </c>
      <c r="B12">
        <v>0.66300000000000003</v>
      </c>
      <c r="C12">
        <v>6.3E-2</v>
      </c>
      <c r="D12">
        <v>0.23799999999999999</v>
      </c>
      <c r="E12">
        <v>1.63</v>
      </c>
      <c r="F12">
        <v>-27</v>
      </c>
      <c r="G12">
        <v>3.8999999999999998E-40</v>
      </c>
      <c r="H12">
        <v>2.4300000000000002</v>
      </c>
      <c r="I12">
        <v>0.2</v>
      </c>
      <c r="J12">
        <v>0.12</v>
      </c>
      <c r="K12">
        <v>0.38</v>
      </c>
      <c r="L12">
        <v>0.393666666666667</v>
      </c>
    </row>
    <row r="13" spans="1:12">
      <c r="A13" t="s">
        <v>192</v>
      </c>
      <c r="B13">
        <v>0.66500000000000004</v>
      </c>
      <c r="C13">
        <v>6.3200000000000006E-2</v>
      </c>
      <c r="D13">
        <v>0.23799999999999999</v>
      </c>
      <c r="E13">
        <v>1.53</v>
      </c>
      <c r="F13">
        <v>-27</v>
      </c>
      <c r="G13">
        <v>4.3000000000000003E-40</v>
      </c>
      <c r="H13">
        <v>2.4500000000000002</v>
      </c>
      <c r="I13">
        <v>0.2</v>
      </c>
      <c r="J13">
        <v>0.11</v>
      </c>
      <c r="K13">
        <v>0.38</v>
      </c>
      <c r="L13">
        <v>0.392666666666667</v>
      </c>
    </row>
    <row r="14" spans="1:12">
      <c r="A14" t="s">
        <v>193</v>
      </c>
      <c r="B14">
        <v>0.66700000000000004</v>
      </c>
      <c r="C14">
        <v>6.3399999999999998E-2</v>
      </c>
      <c r="D14">
        <v>0.23799999999999999</v>
      </c>
      <c r="E14">
        <v>1.43</v>
      </c>
      <c r="F14">
        <v>-27</v>
      </c>
      <c r="G14">
        <v>4.6999999999999999E-40</v>
      </c>
      <c r="H14">
        <v>2.4700000000000002</v>
      </c>
      <c r="I14">
        <v>0.2</v>
      </c>
      <c r="J14">
        <v>0.1</v>
      </c>
      <c r="K14">
        <v>0.38</v>
      </c>
      <c r="L14">
        <v>0.391666666666667</v>
      </c>
    </row>
    <row r="15" spans="1:12">
      <c r="A15" t="s">
        <v>194</v>
      </c>
      <c r="B15">
        <v>0.66900000000000004</v>
      </c>
      <c r="C15">
        <v>6.3600000000000004E-2</v>
      </c>
      <c r="D15">
        <v>0.23799999999999999</v>
      </c>
      <c r="E15">
        <v>1.33</v>
      </c>
      <c r="F15">
        <v>-27</v>
      </c>
      <c r="G15">
        <v>5.1000000000000004E-40</v>
      </c>
      <c r="H15">
        <v>2.4900000000000002</v>
      </c>
      <c r="I15">
        <v>0.2</v>
      </c>
      <c r="J15">
        <v>9.0000000000000094E-2</v>
      </c>
      <c r="K15">
        <v>0.38</v>
      </c>
      <c r="L15">
        <v>0.390666666666667</v>
      </c>
    </row>
    <row r="16" spans="1:12">
      <c r="A16" t="s">
        <v>195</v>
      </c>
      <c r="B16">
        <v>0.67100000000000004</v>
      </c>
      <c r="C16">
        <v>6.3799999999999996E-2</v>
      </c>
      <c r="D16">
        <v>0.23799999999999999</v>
      </c>
      <c r="E16">
        <v>1.23</v>
      </c>
      <c r="F16">
        <v>-27</v>
      </c>
      <c r="G16">
        <v>5.5E-40</v>
      </c>
      <c r="H16">
        <v>2.5099999999999998</v>
      </c>
      <c r="I16">
        <v>0.2</v>
      </c>
      <c r="J16">
        <v>8.0000000000000099E-2</v>
      </c>
      <c r="K16">
        <v>0.38</v>
      </c>
      <c r="L16">
        <v>0.38966666666666699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12A3-7BC8-4000-AAFB-E556A684D64E}">
  <sheetPr codeName="Sheet15">
    <tabColor rgb="FFFFFF00"/>
  </sheetPr>
  <dimension ref="A1:E13"/>
  <sheetViews>
    <sheetView zoomScale="85" zoomScaleNormal="85" workbookViewId="0">
      <selection sqref="A1:E14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0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"/>
  <sheetViews>
    <sheetView zoomScaleNormal="100" workbookViewId="0"/>
  </sheetViews>
  <sheetFormatPr defaultRowHeight="18.75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C39-A0B2-4977-BEF0-B26521343857}">
  <sheetPr codeName="Sheet9"/>
  <dimension ref="A1:E17"/>
  <sheetViews>
    <sheetView workbookViewId="0">
      <selection activeCell="K19" sqref="K19"/>
    </sheetView>
  </sheetViews>
  <sheetFormatPr defaultRowHeight="18.75"/>
  <cols>
    <col min="1" max="16384" width="9" style="13"/>
  </cols>
  <sheetData>
    <row r="1" spans="1:5">
      <c r="A1" s="13" t="s">
        <v>146</v>
      </c>
    </row>
    <row r="2" spans="1:5">
      <c r="A2" s="13" t="s">
        <v>147</v>
      </c>
    </row>
    <row r="3" spans="1:5">
      <c r="A3" s="13" t="s">
        <v>148</v>
      </c>
    </row>
    <row r="4" spans="1:5">
      <c r="A4" s="13" t="s">
        <v>149</v>
      </c>
    </row>
    <row r="6" spans="1:5">
      <c r="B6" s="5" t="s">
        <v>21</v>
      </c>
      <c r="C6" s="5" t="s">
        <v>27</v>
      </c>
      <c r="D6" s="5" t="s">
        <v>82</v>
      </c>
      <c r="E6" s="5" t="s">
        <v>28</v>
      </c>
    </row>
    <row r="7" spans="1:5">
      <c r="B7" t="s">
        <v>69</v>
      </c>
      <c r="C7" t="s">
        <v>30</v>
      </c>
      <c r="D7" t="s">
        <v>29</v>
      </c>
      <c r="E7" t="s">
        <v>33</v>
      </c>
    </row>
    <row r="8" spans="1:5">
      <c r="B8" t="s">
        <v>71</v>
      </c>
      <c r="C8" t="s">
        <v>35</v>
      </c>
      <c r="D8" t="s">
        <v>36</v>
      </c>
      <c r="E8" t="s">
        <v>34</v>
      </c>
    </row>
    <row r="9" spans="1:5">
      <c r="B9" t="s">
        <v>73</v>
      </c>
      <c r="C9" t="s">
        <v>35</v>
      </c>
      <c r="D9" t="s">
        <v>37</v>
      </c>
      <c r="E9" t="s">
        <v>34</v>
      </c>
    </row>
    <row r="10" spans="1:5">
      <c r="B10" t="s">
        <v>7</v>
      </c>
      <c r="C10" t="s">
        <v>35</v>
      </c>
      <c r="D10" t="s">
        <v>38</v>
      </c>
      <c r="E10" t="s">
        <v>79</v>
      </c>
    </row>
    <row r="11" spans="1:5">
      <c r="B11" t="s">
        <v>31</v>
      </c>
      <c r="C11" t="s">
        <v>35</v>
      </c>
      <c r="D11" t="s">
        <v>39</v>
      </c>
      <c r="E11" t="s">
        <v>80</v>
      </c>
    </row>
    <row r="12" spans="1:5">
      <c r="B12" t="s">
        <v>32</v>
      </c>
      <c r="C12" t="s">
        <v>35</v>
      </c>
      <c r="D12" t="s">
        <v>40</v>
      </c>
      <c r="E12" t="s">
        <v>81</v>
      </c>
    </row>
    <row r="13" spans="1:5">
      <c r="B13" s="20" t="s">
        <v>5</v>
      </c>
      <c r="C13" t="s">
        <v>30</v>
      </c>
      <c r="D13" t="s">
        <v>41</v>
      </c>
      <c r="E13" t="s">
        <v>33</v>
      </c>
    </row>
    <row r="14" spans="1:5">
      <c r="B14" t="s">
        <v>76</v>
      </c>
      <c r="C14" t="s">
        <v>24</v>
      </c>
      <c r="D14" t="s">
        <v>42</v>
      </c>
      <c r="E14" t="s">
        <v>33</v>
      </c>
    </row>
    <row r="15" spans="1:5">
      <c r="B15" t="s">
        <v>77</v>
      </c>
      <c r="C15" t="s">
        <v>35</v>
      </c>
      <c r="D15" t="s">
        <v>78</v>
      </c>
      <c r="E15" t="s">
        <v>33</v>
      </c>
    </row>
    <row r="16" spans="1:5">
      <c r="B16" t="s">
        <v>75</v>
      </c>
      <c r="C16" t="s">
        <v>119</v>
      </c>
      <c r="D16" t="s">
        <v>29</v>
      </c>
      <c r="E16" t="s">
        <v>119</v>
      </c>
    </row>
    <row r="17" spans="2:5">
      <c r="B17" t="s">
        <v>83</v>
      </c>
      <c r="C17" t="s">
        <v>119</v>
      </c>
      <c r="D17" t="s">
        <v>92</v>
      </c>
      <c r="E17" t="s">
        <v>119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zoomScaleNormal="100" workbookViewId="0">
      <selection activeCell="A4" sqref="A4"/>
    </sheetView>
  </sheetViews>
  <sheetFormatPr defaultRowHeight="18.75"/>
  <sheetData>
    <row r="1" spans="1:5">
      <c r="A1" t="s">
        <v>121</v>
      </c>
    </row>
    <row r="4" spans="1:5">
      <c r="A4" t="s">
        <v>122</v>
      </c>
    </row>
    <row r="5" spans="1:5">
      <c r="B5" t="s">
        <v>123</v>
      </c>
    </row>
    <row r="6" spans="1:5">
      <c r="A6" t="s">
        <v>124</v>
      </c>
      <c r="B6" t="s">
        <v>133</v>
      </c>
      <c r="C6" t="s">
        <v>134</v>
      </c>
      <c r="D6" t="s">
        <v>135</v>
      </c>
      <c r="E6" t="s">
        <v>136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125</v>
      </c>
    </row>
    <row r="13" spans="1:5">
      <c r="B13" t="s">
        <v>123</v>
      </c>
    </row>
    <row r="14" spans="1:5">
      <c r="A14" t="s">
        <v>124</v>
      </c>
      <c r="B14" t="s">
        <v>133</v>
      </c>
      <c r="C14" t="s">
        <v>134</v>
      </c>
      <c r="D14" t="s">
        <v>135</v>
      </c>
      <c r="E14" t="s">
        <v>136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126</v>
      </c>
    </row>
    <row r="21" spans="1:5">
      <c r="B21" t="s">
        <v>123</v>
      </c>
    </row>
    <row r="22" spans="1:5">
      <c r="A22" t="s">
        <v>124</v>
      </c>
      <c r="B22" t="s">
        <v>133</v>
      </c>
      <c r="C22" t="s">
        <v>134</v>
      </c>
      <c r="D22" t="s">
        <v>135</v>
      </c>
      <c r="E22" t="s">
        <v>136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127</v>
      </c>
    </row>
    <row r="29" spans="1:5">
      <c r="B29" t="s">
        <v>123</v>
      </c>
    </row>
    <row r="30" spans="1:5">
      <c r="A30" t="s">
        <v>124</v>
      </c>
      <c r="B30" t="s">
        <v>133</v>
      </c>
      <c r="C30" t="s">
        <v>134</v>
      </c>
      <c r="D30" t="s">
        <v>135</v>
      </c>
      <c r="E30" t="s">
        <v>136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H15" sqref="H15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57</v>
      </c>
      <c r="H1" t="s">
        <v>60</v>
      </c>
      <c r="L1" s="6" t="s">
        <v>56</v>
      </c>
      <c r="M1" s="6" t="s">
        <v>56</v>
      </c>
      <c r="N1" s="6" t="s">
        <v>56</v>
      </c>
    </row>
    <row r="2" spans="2:16">
      <c r="B2" t="s">
        <v>44</v>
      </c>
      <c r="C2" t="s">
        <v>46</v>
      </c>
      <c r="D2" t="s">
        <v>48</v>
      </c>
      <c r="E2" s="6" t="s">
        <v>49</v>
      </c>
      <c r="F2" s="6" t="s">
        <v>89</v>
      </c>
      <c r="K2" s="8" t="s">
        <v>49</v>
      </c>
      <c r="L2" s="8" t="s">
        <v>58</v>
      </c>
      <c r="M2" s="8" t="s">
        <v>59</v>
      </c>
      <c r="N2" s="8" t="s">
        <v>61</v>
      </c>
    </row>
    <row r="3" spans="2:16">
      <c r="B3" t="s">
        <v>51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62</v>
      </c>
      <c r="K3" s="10">
        <v>5290000000000</v>
      </c>
      <c r="L3" s="2"/>
      <c r="M3" s="10">
        <v>1</v>
      </c>
      <c r="N3" s="10"/>
    </row>
    <row r="4" spans="2:16">
      <c r="B4" t="s">
        <v>53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55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57</v>
      </c>
      <c r="J7" t="s">
        <v>62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43</v>
      </c>
      <c r="C8" t="s">
        <v>45</v>
      </c>
      <c r="D8" t="s">
        <v>47</v>
      </c>
      <c r="E8" s="6" t="s">
        <v>49</v>
      </c>
      <c r="F8" s="6" t="s">
        <v>89</v>
      </c>
      <c r="J8" t="s">
        <v>62</v>
      </c>
      <c r="K8" s="10">
        <v>5540000000000</v>
      </c>
      <c r="L8" s="2"/>
      <c r="M8" s="10"/>
      <c r="N8" s="10">
        <v>5</v>
      </c>
    </row>
    <row r="9" spans="2:16">
      <c r="B9" t="s">
        <v>50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52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54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88</v>
      </c>
    </row>
    <row r="12" spans="2:16">
      <c r="P12" t="s">
        <v>90</v>
      </c>
    </row>
    <row r="13" spans="2:16">
      <c r="B13" t="s">
        <v>57</v>
      </c>
      <c r="P13" s="14" t="s">
        <v>67</v>
      </c>
    </row>
    <row r="14" spans="2:16">
      <c r="B14" t="s">
        <v>43</v>
      </c>
      <c r="C14" t="s">
        <v>45</v>
      </c>
      <c r="D14" t="s">
        <v>47</v>
      </c>
      <c r="E14" s="6" t="s">
        <v>49</v>
      </c>
      <c r="F14" s="6" t="s">
        <v>89</v>
      </c>
      <c r="P14" s="14" t="s">
        <v>68</v>
      </c>
    </row>
    <row r="15" spans="2:16">
      <c r="B15" t="s">
        <v>50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70</v>
      </c>
    </row>
    <row r="16" spans="2:16">
      <c r="B16" t="s">
        <v>52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72</v>
      </c>
    </row>
    <row r="17" spans="2:16">
      <c r="B17" t="s">
        <v>54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74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>
      <selection sqref="A1:E13"/>
    </sheetView>
  </sheetViews>
  <sheetFormatPr defaultRowHeight="18.75"/>
  <sheetData>
    <row r="1" spans="1:16">
      <c r="A1" s="5" t="s">
        <v>21</v>
      </c>
      <c r="B1" t="s">
        <v>69</v>
      </c>
      <c r="C1" t="s">
        <v>7</v>
      </c>
      <c r="D1" s="20" t="s">
        <v>5</v>
      </c>
      <c r="E1" t="s">
        <v>83</v>
      </c>
      <c r="L1" s="27" t="s">
        <v>116</v>
      </c>
    </row>
    <row r="2" spans="1:16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101</v>
      </c>
    </row>
    <row r="4" spans="1:16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102</v>
      </c>
    </row>
    <row r="5" spans="1:16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63</v>
      </c>
      <c r="M5" t="s">
        <v>97</v>
      </c>
      <c r="N5" t="s">
        <v>98</v>
      </c>
      <c r="O5" t="s">
        <v>99</v>
      </c>
      <c r="P5" t="s">
        <v>100</v>
      </c>
    </row>
    <row r="6" spans="1:16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7"/>
  <sheetViews>
    <sheetView workbookViewId="0">
      <selection sqref="A1:I7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139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140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141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142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143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144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N10"/>
  <sheetViews>
    <sheetView zoomScale="70" zoomScaleNormal="70" workbookViewId="0">
      <selection activeCell="E3" sqref="E3:I6"/>
    </sheetView>
  </sheetViews>
  <sheetFormatPr defaultRowHeight="18.75"/>
  <sheetData>
    <row r="1" spans="1:14">
      <c r="A1" t="s">
        <v>137</v>
      </c>
      <c r="D1" t="s">
        <v>120</v>
      </c>
      <c r="M1" t="s">
        <v>150</v>
      </c>
    </row>
    <row r="2" spans="1:14">
      <c r="A2" t="s">
        <v>113</v>
      </c>
    </row>
    <row r="3" spans="1:14">
      <c r="A3" t="s">
        <v>106</v>
      </c>
      <c r="D3" t="s">
        <v>113</v>
      </c>
      <c r="E3" t="s">
        <v>106</v>
      </c>
      <c r="F3" t="s">
        <v>107</v>
      </c>
      <c r="G3" t="s">
        <v>108</v>
      </c>
      <c r="H3" t="s">
        <v>109</v>
      </c>
      <c r="M3" t="s">
        <v>84</v>
      </c>
      <c r="N3" t="s">
        <v>24</v>
      </c>
    </row>
    <row r="4" spans="1:14">
      <c r="A4" t="s">
        <v>107</v>
      </c>
      <c r="D4">
        <v>1100000000000</v>
      </c>
      <c r="E4">
        <v>5200000000000</v>
      </c>
      <c r="F4">
        <v>1</v>
      </c>
      <c r="G4">
        <v>311000000000</v>
      </c>
      <c r="H4">
        <v>-1.1000000000000001</v>
      </c>
      <c r="M4" t="s">
        <v>68</v>
      </c>
      <c r="N4" t="s">
        <v>24</v>
      </c>
    </row>
    <row r="5" spans="1:14">
      <c r="A5" t="s">
        <v>108</v>
      </c>
      <c r="D5">
        <v>1200000000000</v>
      </c>
      <c r="E5">
        <v>5300000000000</v>
      </c>
      <c r="F5">
        <v>2</v>
      </c>
      <c r="G5">
        <v>330000000000</v>
      </c>
      <c r="H5">
        <v>-1.2</v>
      </c>
      <c r="M5" t="s">
        <v>70</v>
      </c>
      <c r="N5" t="s">
        <v>24</v>
      </c>
    </row>
    <row r="6" spans="1:14">
      <c r="A6" t="s">
        <v>109</v>
      </c>
      <c r="E6">
        <v>5400000000000</v>
      </c>
      <c r="F6">
        <v>3</v>
      </c>
      <c r="M6" t="s">
        <v>74</v>
      </c>
      <c r="N6" t="s">
        <v>118</v>
      </c>
    </row>
    <row r="7" spans="1:14">
      <c r="M7" t="s">
        <v>85</v>
      </c>
      <c r="N7" t="s">
        <v>119</v>
      </c>
    </row>
    <row r="9" spans="1:14">
      <c r="A9" t="s">
        <v>151</v>
      </c>
    </row>
    <row r="10" spans="1:14">
      <c r="A10">
        <v>3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"/>
  <sheetViews>
    <sheetView zoomScale="70" zoomScaleNormal="70" workbookViewId="0">
      <selection activeCell="E1" sqref="E1:P16"/>
    </sheetView>
  </sheetViews>
  <sheetFormatPr defaultRowHeight="18.75"/>
  <sheetData/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71BFF-18D8-46E3-850A-7F31A78F47BB}">
  <sheetPr codeName="Sheet5"/>
  <dimension ref="B1:J9"/>
  <sheetViews>
    <sheetView workbookViewId="0">
      <selection activeCell="B3" sqref="B3"/>
    </sheetView>
  </sheetViews>
  <sheetFormatPr defaultRowHeight="18.75"/>
  <cols>
    <col min="2" max="2" width="11.875" customWidth="1"/>
  </cols>
  <sheetData>
    <row r="1" spans="2:10">
      <c r="B1" t="s">
        <v>138</v>
      </c>
    </row>
    <row r="2" spans="2:10">
      <c r="C2" t="s">
        <v>128</v>
      </c>
      <c r="D2" t="s">
        <v>128</v>
      </c>
      <c r="E2" t="s">
        <v>128</v>
      </c>
      <c r="F2" t="s">
        <v>129</v>
      </c>
      <c r="G2" t="s">
        <v>128</v>
      </c>
      <c r="H2" t="s">
        <v>129</v>
      </c>
      <c r="I2" t="s">
        <v>128</v>
      </c>
      <c r="J2" t="s">
        <v>128</v>
      </c>
    </row>
    <row r="3" spans="2:10">
      <c r="B3" s="2" t="s">
        <v>12</v>
      </c>
      <c r="C3" s="2" t="s">
        <v>103</v>
      </c>
      <c r="D3" s="2" t="s">
        <v>104</v>
      </c>
      <c r="E3" s="2" t="s">
        <v>105</v>
      </c>
      <c r="F3" s="2" t="s">
        <v>106</v>
      </c>
      <c r="G3" s="2" t="s">
        <v>107</v>
      </c>
      <c r="H3" s="2" t="s">
        <v>108</v>
      </c>
      <c r="I3" s="2" t="s">
        <v>109</v>
      </c>
      <c r="J3" s="2" t="s">
        <v>110</v>
      </c>
    </row>
    <row r="4" spans="2:10">
      <c r="B4" s="2" t="s">
        <v>139</v>
      </c>
      <c r="C4" s="1">
        <v>1100000000000</v>
      </c>
      <c r="D4" s="1">
        <v>200000000000</v>
      </c>
      <c r="E4" s="2">
        <v>1</v>
      </c>
      <c r="F4" s="1">
        <v>5200000000000</v>
      </c>
      <c r="G4" s="2">
        <v>1</v>
      </c>
      <c r="H4">
        <f>311000000000</f>
        <v>311000000000</v>
      </c>
      <c r="I4" s="2">
        <v>-1.1000000000000001</v>
      </c>
      <c r="J4" s="2">
        <v>2</v>
      </c>
    </row>
    <row r="5" spans="2:10">
      <c r="B5" s="2" t="s">
        <v>140</v>
      </c>
      <c r="C5" s="1">
        <v>1100000000000</v>
      </c>
      <c r="D5" s="1">
        <v>200000000000</v>
      </c>
      <c r="E5" s="2">
        <v>1</v>
      </c>
      <c r="F5" s="21">
        <v>5300000000000</v>
      </c>
      <c r="G5" s="18">
        <v>2</v>
      </c>
      <c r="H5">
        <f>311000000000</f>
        <v>311000000000</v>
      </c>
      <c r="I5" s="2">
        <v>-1.1000000000000001</v>
      </c>
      <c r="J5" s="2">
        <v>2</v>
      </c>
    </row>
    <row r="6" spans="2:10">
      <c r="B6" s="2" t="s">
        <v>141</v>
      </c>
      <c r="C6" s="1">
        <v>1100000000000</v>
      </c>
      <c r="D6" s="1">
        <v>200000000000</v>
      </c>
      <c r="E6" s="2">
        <v>1</v>
      </c>
      <c r="F6" s="26">
        <v>5400000000000</v>
      </c>
      <c r="G6">
        <v>3</v>
      </c>
      <c r="H6">
        <f>311000000000</f>
        <v>311000000000</v>
      </c>
      <c r="I6" s="17">
        <v>-1.2</v>
      </c>
      <c r="J6" s="2">
        <v>2</v>
      </c>
    </row>
    <row r="7" spans="2:10">
      <c r="B7" s="2" t="s">
        <v>142</v>
      </c>
      <c r="C7" s="4">
        <v>1200000000000</v>
      </c>
      <c r="D7" s="1">
        <v>200000000000</v>
      </c>
      <c r="E7" s="2">
        <v>1</v>
      </c>
      <c r="F7" s="1">
        <v>5200000000000</v>
      </c>
      <c r="G7" s="2">
        <v>1</v>
      </c>
      <c r="H7" s="23">
        <v>330000000000</v>
      </c>
      <c r="I7" s="17">
        <v>-1.2</v>
      </c>
      <c r="J7" s="2">
        <v>2</v>
      </c>
    </row>
    <row r="8" spans="2:10">
      <c r="B8" s="2" t="s">
        <v>143</v>
      </c>
      <c r="C8" s="4">
        <v>1200000000000</v>
      </c>
      <c r="D8" s="1">
        <v>200000000000</v>
      </c>
      <c r="E8" s="2">
        <v>1</v>
      </c>
      <c r="F8" s="21">
        <v>5300000000000</v>
      </c>
      <c r="G8" s="18">
        <v>2</v>
      </c>
      <c r="H8" s="23">
        <v>330000000000</v>
      </c>
      <c r="I8" s="17">
        <v>-1.2</v>
      </c>
      <c r="J8" s="2">
        <v>2</v>
      </c>
    </row>
    <row r="9" spans="2:10">
      <c r="B9" s="2" t="s">
        <v>144</v>
      </c>
      <c r="C9" s="4">
        <v>1200000000000</v>
      </c>
      <c r="D9" s="1">
        <v>200000000000</v>
      </c>
      <c r="E9" s="2">
        <v>1</v>
      </c>
      <c r="F9" s="26">
        <v>5400000000000</v>
      </c>
      <c r="G9" s="19">
        <v>3</v>
      </c>
      <c r="H9" s="23">
        <v>330000000000</v>
      </c>
      <c r="I9" s="17">
        <v>-1.2</v>
      </c>
      <c r="J9" s="2">
        <v>2</v>
      </c>
    </row>
  </sheetData>
  <phoneticPr fontId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AH78"/>
  <sheetViews>
    <sheetView tabSelected="1" workbookViewId="0"/>
  </sheetViews>
  <sheetFormatPr defaultRowHeight="18.75"/>
  <cols>
    <col min="1" max="1" width="10.25" bestFit="1" customWidth="1"/>
    <col min="2" max="2" width="11.875" bestFit="1" customWidth="1"/>
    <col min="3" max="5" width="11.25" bestFit="1" customWidth="1"/>
    <col min="6" max="6" width="11.375" bestFit="1" customWidth="1"/>
    <col min="7" max="7" width="10.5" bestFit="1" customWidth="1"/>
    <col min="8" max="8" width="10" bestFit="1" customWidth="1"/>
    <col min="9" max="9" width="11.125" bestFit="1" customWidth="1"/>
    <col min="30" max="30" width="10.875" customWidth="1"/>
  </cols>
  <sheetData>
    <row r="1" spans="1:34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  <c r="M1" t="s">
        <v>196</v>
      </c>
      <c r="AD1" t="s">
        <v>234</v>
      </c>
      <c r="AE1" t="s">
        <v>227</v>
      </c>
      <c r="AF1" t="s">
        <v>228</v>
      </c>
    </row>
    <row r="2" spans="1:34">
      <c r="A2" s="2" t="s">
        <v>139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T2" t="s">
        <v>224</v>
      </c>
      <c r="AB2" t="s">
        <v>225</v>
      </c>
    </row>
    <row r="3" spans="1:34">
      <c r="A3" s="2" t="s">
        <v>140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M3" s="5" t="s">
        <v>21</v>
      </c>
      <c r="N3" t="s">
        <v>69</v>
      </c>
      <c r="O3" t="s">
        <v>7</v>
      </c>
      <c r="P3" s="20" t="s">
        <v>5</v>
      </c>
      <c r="Q3" t="s">
        <v>83</v>
      </c>
      <c r="T3" s="5" t="s">
        <v>21</v>
      </c>
      <c r="U3" t="s">
        <v>69</v>
      </c>
      <c r="AB3" s="5" t="s">
        <v>21</v>
      </c>
      <c r="AC3" t="s">
        <v>69</v>
      </c>
    </row>
    <row r="4" spans="1:34">
      <c r="A4" s="2" t="s">
        <v>141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M4" t="s">
        <v>15</v>
      </c>
      <c r="N4" s="1">
        <v>0.64900000000000002</v>
      </c>
      <c r="O4" s="1">
        <v>2.33</v>
      </c>
      <c r="P4" s="1">
        <v>2.29</v>
      </c>
      <c r="Q4" s="1">
        <v>0.4</v>
      </c>
      <c r="T4" t="s">
        <v>15</v>
      </c>
      <c r="U4" s="1">
        <v>0.64900000000000002</v>
      </c>
      <c r="V4" s="1">
        <v>0.67500000000000004</v>
      </c>
      <c r="AB4" t="s">
        <v>15</v>
      </c>
      <c r="AC4" s="1">
        <v>0.64900000000000002</v>
      </c>
      <c r="AD4" s="1">
        <v>0.65500000000000003</v>
      </c>
      <c r="AE4" s="1">
        <v>1.4999999999999999E-2</v>
      </c>
      <c r="AF4" s="1">
        <v>0.01</v>
      </c>
      <c r="AH4" t="s">
        <v>231</v>
      </c>
    </row>
    <row r="5" spans="1:34">
      <c r="A5" s="2" t="s">
        <v>142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M5" t="s">
        <v>16</v>
      </c>
      <c r="N5" s="1">
        <v>0.65100000000000002</v>
      </c>
      <c r="O5" s="1">
        <v>2.23</v>
      </c>
      <c r="P5" s="1">
        <v>2.31</v>
      </c>
      <c r="Q5" s="1">
        <v>0.40100000000000002</v>
      </c>
      <c r="T5" t="s">
        <v>16</v>
      </c>
      <c r="U5" s="1">
        <v>0.65100000000000002</v>
      </c>
      <c r="V5" s="1">
        <v>0.67500000000000004</v>
      </c>
      <c r="AB5" t="s">
        <v>16</v>
      </c>
      <c r="AC5" s="1">
        <v>0.65100000000000002</v>
      </c>
      <c r="AD5" s="1">
        <v>0.65500000000000003</v>
      </c>
      <c r="AE5" s="1">
        <v>1.4999999999999999E-2</v>
      </c>
      <c r="AF5" s="1">
        <v>0.01</v>
      </c>
      <c r="AH5" t="s">
        <v>232</v>
      </c>
    </row>
    <row r="6" spans="1:34">
      <c r="A6" s="2" t="s">
        <v>143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M6" t="s">
        <v>17</v>
      </c>
      <c r="N6" s="1">
        <v>0.65300000000000002</v>
      </c>
      <c r="O6" s="1">
        <v>2.13</v>
      </c>
      <c r="P6" s="1">
        <v>2.33</v>
      </c>
      <c r="Q6" s="1">
        <v>0.39800000000000002</v>
      </c>
      <c r="T6" t="s">
        <v>17</v>
      </c>
      <c r="U6" s="1">
        <v>0.65300000000000002</v>
      </c>
      <c r="V6" s="1">
        <v>0.67500000000000004</v>
      </c>
      <c r="AB6" t="s">
        <v>17</v>
      </c>
      <c r="AC6" s="1">
        <v>0.65300000000000002</v>
      </c>
      <c r="AD6" s="1">
        <v>0.65500000000000003</v>
      </c>
      <c r="AE6" s="1">
        <v>1.4999999999999999E-2</v>
      </c>
      <c r="AF6" s="1">
        <v>0.01</v>
      </c>
      <c r="AH6" t="s">
        <v>233</v>
      </c>
    </row>
    <row r="7" spans="1:34">
      <c r="A7" s="2" t="s">
        <v>144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M7" t="s">
        <v>18</v>
      </c>
      <c r="N7" s="1">
        <v>0.65500000000000003</v>
      </c>
      <c r="O7" s="1">
        <v>2.0299999999999998</v>
      </c>
      <c r="P7" s="1">
        <v>2.35</v>
      </c>
      <c r="Q7" s="1">
        <v>0.397666666666667</v>
      </c>
      <c r="T7" t="s">
        <v>18</v>
      </c>
      <c r="U7" s="1">
        <v>0.65500000000000003</v>
      </c>
      <c r="V7" s="1">
        <v>0.67500000000000004</v>
      </c>
      <c r="AB7" t="s">
        <v>18</v>
      </c>
      <c r="AC7" s="1">
        <v>0.65500000000000003</v>
      </c>
      <c r="AD7" s="1">
        <v>0.65500000000000003</v>
      </c>
      <c r="AE7" s="1">
        <v>1.4999999999999999E-2</v>
      </c>
      <c r="AF7" s="1">
        <v>0.01</v>
      </c>
    </row>
    <row r="8" spans="1:34">
      <c r="M8" t="s">
        <v>19</v>
      </c>
      <c r="N8" s="1">
        <v>0.65700000000000003</v>
      </c>
      <c r="O8" s="1">
        <v>1.93</v>
      </c>
      <c r="P8" s="1">
        <v>2.37</v>
      </c>
      <c r="Q8" s="1">
        <v>0.396666666666667</v>
      </c>
      <c r="T8" t="s">
        <v>19</v>
      </c>
      <c r="U8" s="1">
        <v>0.65700000000000003</v>
      </c>
      <c r="AB8" t="s">
        <v>19</v>
      </c>
      <c r="AC8" s="1">
        <v>0.65700000000000003</v>
      </c>
      <c r="AD8" s="1">
        <v>0.65500000000000003</v>
      </c>
      <c r="AE8" s="1">
        <v>1.4999999999999999E-2</v>
      </c>
      <c r="AF8" s="1">
        <v>0.01</v>
      </c>
    </row>
    <row r="9" spans="1:34">
      <c r="M9" t="s">
        <v>20</v>
      </c>
      <c r="N9" s="1">
        <v>0.65900000000000003</v>
      </c>
      <c r="O9" s="1">
        <v>1.83</v>
      </c>
      <c r="P9" s="1">
        <v>2.39</v>
      </c>
      <c r="Q9" s="1">
        <v>0.395666666666667</v>
      </c>
      <c r="T9" t="s">
        <v>20</v>
      </c>
      <c r="U9" s="1">
        <v>0.65900000000000003</v>
      </c>
      <c r="AB9" t="s">
        <v>20</v>
      </c>
      <c r="AC9" s="1">
        <v>0.65900000000000003</v>
      </c>
      <c r="AD9" s="1">
        <v>0.65500000000000003</v>
      </c>
      <c r="AE9" s="1">
        <v>1.4999999999999999E-2</v>
      </c>
      <c r="AF9" s="1">
        <v>0.01</v>
      </c>
    </row>
    <row r="10" spans="1:34">
      <c r="M10" t="s">
        <v>93</v>
      </c>
      <c r="N10" s="1">
        <v>0.66500000000000004</v>
      </c>
      <c r="O10" s="1">
        <v>1.53</v>
      </c>
      <c r="P10" s="1">
        <v>2.4500000000000002</v>
      </c>
      <c r="Q10" s="1">
        <v>0.392666666666667</v>
      </c>
      <c r="T10" t="s">
        <v>93</v>
      </c>
      <c r="U10" s="1">
        <v>0.66500000000000004</v>
      </c>
      <c r="AB10" t="s">
        <v>93</v>
      </c>
      <c r="AC10" s="1">
        <v>0.66500000000000004</v>
      </c>
      <c r="AD10" s="1">
        <v>0.65500000000000003</v>
      </c>
      <c r="AE10" s="1">
        <v>1.4999999999999999E-2</v>
      </c>
      <c r="AF10" s="1">
        <v>0.01</v>
      </c>
    </row>
    <row r="11" spans="1:34">
      <c r="M11" t="s">
        <v>94</v>
      </c>
      <c r="N11" s="1">
        <v>0.66700000000000004</v>
      </c>
      <c r="O11" s="1">
        <v>1.43</v>
      </c>
      <c r="P11" s="1">
        <v>2.4700000000000002</v>
      </c>
      <c r="Q11" s="1">
        <v>0.391666666666667</v>
      </c>
      <c r="T11" t="s">
        <v>94</v>
      </c>
      <c r="U11" s="1">
        <v>0.66700000000000004</v>
      </c>
      <c r="V11" s="1">
        <v>0.67500000000000004</v>
      </c>
      <c r="W11" s="1"/>
      <c r="AB11" t="s">
        <v>94</v>
      </c>
      <c r="AC11" s="1">
        <v>0.66700000000000004</v>
      </c>
      <c r="AD11" s="1">
        <v>0.65500000000000003</v>
      </c>
      <c r="AE11" s="1">
        <v>1.4999999999999999E-2</v>
      </c>
      <c r="AF11" s="1">
        <v>0.01</v>
      </c>
    </row>
    <row r="12" spans="1:34">
      <c r="M12" t="s">
        <v>95</v>
      </c>
      <c r="N12" s="1">
        <v>0.66900000000000004</v>
      </c>
      <c r="O12" s="1">
        <v>1.33</v>
      </c>
      <c r="P12" s="1">
        <v>2.4900000000000002</v>
      </c>
      <c r="Q12" s="1">
        <v>0.390666666666667</v>
      </c>
      <c r="T12" t="s">
        <v>95</v>
      </c>
      <c r="U12" s="1">
        <v>0.66900000000000004</v>
      </c>
      <c r="V12" s="1">
        <v>0.67500000000000004</v>
      </c>
      <c r="W12" s="1"/>
      <c r="AB12" t="s">
        <v>95</v>
      </c>
      <c r="AC12" s="1">
        <v>0.66900000000000004</v>
      </c>
      <c r="AD12" s="1">
        <v>0.65500000000000003</v>
      </c>
      <c r="AE12" s="1">
        <v>1.4999999999999999E-2</v>
      </c>
      <c r="AF12" s="1">
        <v>0.01</v>
      </c>
    </row>
    <row r="13" spans="1:34">
      <c r="M13" t="s">
        <v>96</v>
      </c>
      <c r="N13" s="1">
        <v>0.67100000000000004</v>
      </c>
      <c r="O13" s="1">
        <v>1.23</v>
      </c>
      <c r="P13" s="1">
        <v>2.5099999999999998</v>
      </c>
      <c r="Q13" s="1">
        <v>0.38966666666666699</v>
      </c>
      <c r="T13" t="s">
        <v>96</v>
      </c>
      <c r="U13" s="1">
        <v>0.67100000000000004</v>
      </c>
      <c r="V13" s="1">
        <v>0.67500000000000004</v>
      </c>
      <c r="AB13" t="s">
        <v>96</v>
      </c>
      <c r="AC13" s="1">
        <v>0.67100000000000004</v>
      </c>
      <c r="AD13" s="1">
        <v>0.65500000000000003</v>
      </c>
      <c r="AE13" s="1">
        <v>1.4999999999999999E-2</v>
      </c>
      <c r="AF13" s="1">
        <v>0.01</v>
      </c>
    </row>
    <row r="27" spans="20:28">
      <c r="T27" t="s">
        <v>221</v>
      </c>
      <c r="AB27" t="s">
        <v>229</v>
      </c>
    </row>
    <row r="28" spans="20:28">
      <c r="T28" t="s">
        <v>222</v>
      </c>
      <c r="AB28" t="s">
        <v>236</v>
      </c>
    </row>
    <row r="29" spans="20:28">
      <c r="T29" t="s">
        <v>226</v>
      </c>
    </row>
    <row r="30" spans="20:28">
      <c r="T30" t="s">
        <v>223</v>
      </c>
    </row>
    <row r="31" spans="20:28">
      <c r="T31" t="s">
        <v>230</v>
      </c>
    </row>
    <row r="32" spans="20:28">
      <c r="T32" t="s">
        <v>235</v>
      </c>
    </row>
    <row r="34" spans="12:24"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</row>
    <row r="35" spans="12:24"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</row>
    <row r="36" spans="12:24">
      <c r="L36" s="35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</row>
    <row r="37" spans="12:24">
      <c r="L37" s="34"/>
      <c r="M37" s="34"/>
      <c r="N37" s="34"/>
      <c r="O37" s="34"/>
      <c r="P37" s="36"/>
      <c r="Q37" s="36"/>
      <c r="R37" s="36"/>
      <c r="S37" s="36"/>
      <c r="T37" s="36"/>
      <c r="U37" s="36"/>
      <c r="V37" s="36"/>
      <c r="W37" s="36"/>
      <c r="X37" s="36"/>
    </row>
    <row r="38" spans="12:24">
      <c r="L38" s="34"/>
      <c r="M38" s="34"/>
      <c r="N38" s="34"/>
      <c r="O38" s="34"/>
      <c r="P38" s="36"/>
      <c r="Q38" s="36"/>
      <c r="R38" s="36"/>
      <c r="S38" s="36"/>
      <c r="T38" s="36"/>
      <c r="U38" s="36"/>
      <c r="V38" s="36"/>
      <c r="W38" s="36"/>
      <c r="X38" s="36"/>
    </row>
    <row r="55" spans="12:25">
      <c r="Y55" s="34"/>
    </row>
    <row r="56" spans="12:25">
      <c r="Y56" s="34"/>
    </row>
    <row r="57" spans="12:25">
      <c r="Y57" s="34"/>
    </row>
    <row r="58" spans="12:25">
      <c r="Y58" s="34"/>
    </row>
    <row r="59" spans="12:25"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</row>
    <row r="60" spans="12:25"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</row>
    <row r="61" spans="12:25"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</row>
    <row r="62" spans="12:25"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</row>
    <row r="63" spans="12:25"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</row>
    <row r="64" spans="12:25"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</row>
    <row r="65" spans="12:25"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</row>
    <row r="66" spans="12:25"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</row>
    <row r="67" spans="12:25"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</row>
    <row r="68" spans="12:25"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</row>
    <row r="69" spans="12:25"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</row>
    <row r="70" spans="12:25"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</row>
    <row r="71" spans="12:25"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</row>
    <row r="72" spans="12:25"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</row>
    <row r="73" spans="12:25"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</row>
    <row r="74" spans="12:25"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</row>
    <row r="75" spans="12:25"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</row>
    <row r="76" spans="12:25"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</row>
    <row r="77" spans="12:25"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</row>
    <row r="78" spans="12:25"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</row>
  </sheetData>
  <phoneticPr fontId="1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>
      <selection activeCell="A4" sqref="A4"/>
    </sheetView>
  </sheetViews>
  <sheetFormatPr defaultRowHeight="13.5"/>
  <cols>
    <col min="1" max="16384" width="9" style="34"/>
  </cols>
  <sheetData>
    <row r="1" spans="1:18">
      <c r="A1" s="34" t="s">
        <v>211</v>
      </c>
    </row>
    <row r="2" spans="1:18">
      <c r="A2" s="34" t="s">
        <v>212</v>
      </c>
    </row>
    <row r="3" spans="1:18">
      <c r="A3" s="34" t="s">
        <v>220</v>
      </c>
    </row>
    <row r="6" spans="1:18">
      <c r="A6" s="33" t="s">
        <v>197</v>
      </c>
      <c r="B6" s="33" t="s">
        <v>198</v>
      </c>
      <c r="C6" s="33" t="s">
        <v>199</v>
      </c>
      <c r="D6" s="33" t="s">
        <v>200</v>
      </c>
      <c r="E6" s="33" t="s">
        <v>201</v>
      </c>
      <c r="F6" s="33" t="s">
        <v>202</v>
      </c>
      <c r="G6" s="33" t="s">
        <v>203</v>
      </c>
      <c r="H6" s="33" t="s">
        <v>204</v>
      </c>
      <c r="I6" s="33" t="s">
        <v>205</v>
      </c>
      <c r="J6" s="33" t="s">
        <v>206</v>
      </c>
      <c r="K6" s="33" t="s">
        <v>207</v>
      </c>
      <c r="L6" s="33" t="s">
        <v>208</v>
      </c>
      <c r="M6" s="33" t="s">
        <v>209</v>
      </c>
      <c r="R6" s="34" t="s">
        <v>216</v>
      </c>
    </row>
    <row r="7" spans="1:18" ht="18.75">
      <c r="A7" s="35" t="s">
        <v>210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215</v>
      </c>
      <c r="R7" s="34" t="s">
        <v>218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213</v>
      </c>
      <c r="R8" s="34" t="s">
        <v>217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214</v>
      </c>
      <c r="R9" s="34" t="s">
        <v>219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>
      <selection sqref="A1:N24"/>
    </sheetView>
  </sheetViews>
  <sheetFormatPr defaultRowHeight="13.5"/>
  <cols>
    <col min="1" max="16384" width="9" style="34"/>
  </cols>
  <sheetData>
    <row r="1" spans="1:13">
      <c r="A1" s="33" t="s">
        <v>197</v>
      </c>
      <c r="B1" s="33" t="s">
        <v>198</v>
      </c>
      <c r="C1" s="33" t="s">
        <v>199</v>
      </c>
      <c r="D1" s="33" t="s">
        <v>200</v>
      </c>
      <c r="E1" s="33" t="s">
        <v>201</v>
      </c>
      <c r="F1" s="33" t="s">
        <v>202</v>
      </c>
      <c r="G1" s="33" t="s">
        <v>203</v>
      </c>
      <c r="H1" s="33" t="s">
        <v>204</v>
      </c>
      <c r="I1" s="33" t="s">
        <v>205</v>
      </c>
      <c r="J1" s="33" t="s">
        <v>206</v>
      </c>
      <c r="K1" s="33" t="s">
        <v>207</v>
      </c>
      <c r="L1" s="33" t="s">
        <v>208</v>
      </c>
      <c r="M1" s="33" t="s">
        <v>209</v>
      </c>
    </row>
    <row r="2" spans="1:13" ht="18.75">
      <c r="A2" s="35" t="s">
        <v>210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グラフ作成</vt:lpstr>
      <vt:lpstr>設定ファイル</vt:lpstr>
      <vt:lpstr>条件表</vt:lpstr>
      <vt:lpstr>DataTable</vt:lpstr>
      <vt:lpstr>DataTable_bck</vt:lpstr>
      <vt:lpstr>サマリ</vt:lpstr>
      <vt:lpstr>BCK_サマリ</vt:lpstr>
      <vt:lpstr>散布図</vt:lpstr>
      <vt:lpstr>サマリ対象</vt:lpstr>
      <vt:lpstr>BCK_散布図</vt:lpstr>
      <vt:lpstr>例_散布図</vt:lpstr>
      <vt:lpstr>work_template</vt:lpstr>
      <vt:lpstr>work_jyoken</vt:lpstr>
      <vt:lpstr>work_graph</vt:lpstr>
      <vt:lpstr>work_scatter1</vt:lpstr>
      <vt:lpstr>src_jyoken</vt:lpstr>
      <vt:lpstr>例_グラフ背景塗りつぶし</vt:lpstr>
      <vt:lpstr>例_グラフ背景塗りつぶし_y範囲</vt:lpstr>
      <vt:lpstr>例_グラフ背景塗りつぶし_x範囲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2021-08-28T08:57:21Z</dcterms:modified>
</cp:coreProperties>
</file>