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charts/chart2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2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2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2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2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2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kuroda\work\00_TCAD\20210701_PDsim\第1要望_自動グラフ作成_Excelマクロ\"/>
    </mc:Choice>
  </mc:AlternateContent>
  <xr:revisionPtr revIDLastSave="0" documentId="13_ncr:1_{EABEE5AA-A92D-4BED-B046-5E508751DFA6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グラフ作成" sheetId="6" r:id="rId1"/>
    <sheet name="条件表" sheetId="3" r:id="rId2"/>
    <sheet name="設定ファイル" sheetId="51" r:id="rId3"/>
    <sheet name="DataTable" sheetId="65" r:id="rId4"/>
    <sheet name="bck_DataTable_歯抜けなし" sheetId="59" r:id="rId5"/>
    <sheet name="サマリ" sheetId="16" r:id="rId6"/>
    <sheet name="BCK_サマリ" sheetId="43" r:id="rId7"/>
    <sheet name="散布図" sheetId="8" r:id="rId8"/>
    <sheet name="サマリ対象" sheetId="54" r:id="rId9"/>
    <sheet name="BCK_散布図" sheetId="44" r:id="rId10"/>
    <sheet name="例_散布図" sheetId="4" r:id="rId11"/>
    <sheet name="work_template" sheetId="42" r:id="rId12"/>
    <sheet name="work_jyoken" sheetId="12" r:id="rId13"/>
    <sheet name="work_summary" sheetId="60" r:id="rId14"/>
    <sheet name="work_graph" sheetId="7" r:id="rId15"/>
    <sheet name="work_scatter1" sheetId="13" r:id="rId16"/>
    <sheet name="例_グラフ背景塗りつぶし" sheetId="55" r:id="rId17"/>
    <sheet name="例_グラフ背景塗りつぶし_y範囲" sheetId="56" r:id="rId18"/>
    <sheet name="例_グラフ背景塗りつぶし_x範囲" sheetId="57" r:id="rId19"/>
    <sheet name="src_jyoken" sheetId="67" r:id="rId20"/>
  </sheets>
  <functionGroups builtInGroupCount="19"/>
  <definedNames>
    <definedName name="_xlnm._FilterDatabase" localSheetId="4" hidden="1">bck_DataTable_歯抜けなし!$F$1:$Q$16</definedName>
    <definedName name="_xlnm._FilterDatabase" localSheetId="9" hidden="1">BCK_散布図!#REF!</definedName>
    <definedName name="_xlnm._FilterDatabase" localSheetId="3" hidden="1">DataTable!$F$1:$Q$16</definedName>
    <definedName name="_xlnm._FilterDatabase" localSheetId="15" hidden="1">work_scatter1!#REF!</definedName>
    <definedName name="テスト1">例_グラフ背景塗りつぶし!#REF!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7" i="67" l="1"/>
  <c r="K66" i="67"/>
  <c r="K65" i="67"/>
  <c r="K47" i="67"/>
  <c r="K46" i="67"/>
  <c r="K45" i="67"/>
  <c r="K35" i="67"/>
  <c r="K34" i="67"/>
  <c r="K33" i="67"/>
  <c r="K32" i="67"/>
  <c r="K31" i="67"/>
  <c r="K30" i="67"/>
  <c r="K13" i="67"/>
  <c r="K12" i="67"/>
  <c r="K11" i="67"/>
  <c r="D7" i="65"/>
  <c r="D6" i="65"/>
  <c r="D5" i="65"/>
  <c r="D7" i="59"/>
  <c r="D6" i="59"/>
  <c r="D5" i="5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E1" authorId="0" shapeId="0" xr:uid="{666D1E18-9601-4E80-8921-8C7268E13FE1}">
      <text>
        <r>
          <rPr>
            <sz val="9"/>
            <color indexed="81"/>
            <rFont val="MS P ゴシック"/>
            <family val="3"/>
            <charset val="128"/>
          </rPr>
          <t>mkimp.txtを置いたフォルダ名を入力。
（=Speed DataTableのMODE行に記載される文字列)</t>
        </r>
      </text>
    </comment>
  </commentList>
</comments>
</file>

<file path=xl/sharedStrings.xml><?xml version="1.0" encoding="utf-8"?>
<sst xmlns="http://schemas.openxmlformats.org/spreadsheetml/2006/main" count="1145" uniqueCount="311">
  <si>
    <t>特性項目</t>
    <rPh sb="0" eb="2">
      <t>トクセイ</t>
    </rPh>
    <rPh sb="2" eb="4">
      <t>コウモク</t>
    </rPh>
    <phoneticPr fontId="1"/>
  </si>
  <si>
    <t>指標(上限)</t>
    <rPh sb="0" eb="2">
      <t>シヒョウ</t>
    </rPh>
    <rPh sb="3" eb="5">
      <t>ジョウゲン</t>
    </rPh>
    <phoneticPr fontId="1"/>
  </si>
  <si>
    <t>範囲</t>
    <rPh sb="0" eb="2">
      <t>ハンイ</t>
    </rPh>
    <phoneticPr fontId="1"/>
  </si>
  <si>
    <t>指標(下限)</t>
    <rPh sb="0" eb="2">
      <t>シヒョウ</t>
    </rPh>
    <rPh sb="3" eb="4">
      <t>シタ</t>
    </rPh>
    <rPh sb="4" eb="5">
      <t>カギ</t>
    </rPh>
    <phoneticPr fontId="1"/>
  </si>
  <si>
    <t>=</t>
    <phoneticPr fontId="1"/>
  </si>
  <si>
    <t>SRpot</t>
    <phoneticPr fontId="1"/>
  </si>
  <si>
    <t>&gt;</t>
    <phoneticPr fontId="1"/>
  </si>
  <si>
    <t>tokuA</t>
    <phoneticPr fontId="1"/>
  </si>
  <si>
    <t>グラフ(上限)</t>
    <rPh sb="4" eb="6">
      <t>ジョウゲン</t>
    </rPh>
    <phoneticPr fontId="1"/>
  </si>
  <si>
    <t>グラフ(下限)</t>
    <rPh sb="4" eb="5">
      <t>シタ</t>
    </rPh>
    <rPh sb="5" eb="6">
      <t>キリ</t>
    </rPh>
    <phoneticPr fontId="1"/>
  </si>
  <si>
    <t>グラフ(スケール)</t>
    <phoneticPr fontId="1"/>
  </si>
  <si>
    <t>対数</t>
    <rPh sb="0" eb="2">
      <t>タイスウ</t>
    </rPh>
    <phoneticPr fontId="1"/>
  </si>
  <si>
    <t>NAME</t>
    <phoneticPr fontId="1"/>
  </si>
  <si>
    <t>matA</t>
    <phoneticPr fontId="1"/>
  </si>
  <si>
    <t>CWL1</t>
    <phoneticPr fontId="1"/>
  </si>
  <si>
    <t>imp01</t>
  </si>
  <si>
    <t>imp02</t>
  </si>
  <si>
    <t>imp03</t>
  </si>
  <si>
    <t>imp04</t>
  </si>
  <si>
    <t>imp05</t>
  </si>
  <si>
    <t>imp06</t>
  </si>
  <si>
    <t>Name</t>
    <phoneticPr fontId="1"/>
  </si>
  <si>
    <t>Field</t>
    <phoneticPr fontId="1"/>
  </si>
  <si>
    <t>Unit</t>
    <phoneticPr fontId="1"/>
  </si>
  <si>
    <t>01_TGoff</t>
  </si>
  <si>
    <t>DOSE</t>
    <phoneticPr fontId="1"/>
  </si>
  <si>
    <t>cm</t>
    <phoneticPr fontId="1"/>
  </si>
  <si>
    <t>Mode</t>
    <phoneticPr fontId="1"/>
  </si>
  <si>
    <t>Object</t>
    <phoneticPr fontId="1"/>
  </si>
  <si>
    <t>Extract1</t>
    <phoneticPr fontId="1"/>
  </si>
  <si>
    <t>01_TGoff</t>
    <phoneticPr fontId="1"/>
  </si>
  <si>
    <t>tokuE</t>
    <phoneticPr fontId="1"/>
  </si>
  <si>
    <t>tokuF</t>
    <phoneticPr fontId="1"/>
  </si>
  <si>
    <t>VMAX</t>
    <phoneticPr fontId="1"/>
  </si>
  <si>
    <t>VMIN</t>
    <phoneticPr fontId="1"/>
  </si>
  <si>
    <t>01_TGon</t>
    <phoneticPr fontId="1"/>
  </si>
  <si>
    <t>Extract2</t>
  </si>
  <si>
    <t>Extract3</t>
  </si>
  <si>
    <t>Extract4</t>
  </si>
  <si>
    <t>Extract5</t>
  </si>
  <si>
    <t>Extract6</t>
  </si>
  <si>
    <t>Extract7</t>
  </si>
  <si>
    <t>Extract10</t>
  </si>
  <si>
    <t xml:space="preserve">Name </t>
  </si>
  <si>
    <t xml:space="preserve">Name </t>
    <phoneticPr fontId="1"/>
  </si>
  <si>
    <t>CWL01</t>
  </si>
  <si>
    <t>CWL01</t>
    <phoneticPr fontId="1"/>
  </si>
  <si>
    <t>OFD</t>
  </si>
  <si>
    <t>OFD</t>
    <phoneticPr fontId="1"/>
  </si>
  <si>
    <t>1SR</t>
    <phoneticPr fontId="1"/>
  </si>
  <si>
    <t>imp002</t>
  </si>
  <si>
    <t>imp002</t>
    <phoneticPr fontId="1"/>
  </si>
  <si>
    <t>imp011</t>
  </si>
  <si>
    <t>imp011</t>
    <phoneticPr fontId="1"/>
  </si>
  <si>
    <t>imp020</t>
  </si>
  <si>
    <t>imp020</t>
    <phoneticPr fontId="1"/>
  </si>
  <si>
    <t>tokusei01</t>
    <phoneticPr fontId="1"/>
  </si>
  <si>
    <t>組み合わせ: CWL01=1_OFD=3</t>
    <rPh sb="0" eb="1">
      <t>ク</t>
    </rPh>
    <rPh sb="2" eb="3">
      <t>ア</t>
    </rPh>
    <phoneticPr fontId="1"/>
  </si>
  <si>
    <t>CWL01=1_OFD=3</t>
    <phoneticPr fontId="1"/>
  </si>
  <si>
    <t>CWL01=1.5_OFD=3</t>
    <phoneticPr fontId="1"/>
  </si>
  <si>
    <t>左3表まとめて→</t>
    <rPh sb="0" eb="1">
      <t>ヒダリ</t>
    </rPh>
    <rPh sb="2" eb="3">
      <t>ヒョウ</t>
    </rPh>
    <phoneticPr fontId="1"/>
  </si>
  <si>
    <t>CWL01=2_OFD=3</t>
    <phoneticPr fontId="1"/>
  </si>
  <si>
    <t>ここはテスト</t>
    <phoneticPr fontId="1"/>
  </si>
  <si>
    <t>X軸</t>
    <rPh sb="1" eb="2">
      <t>ジク</t>
    </rPh>
    <phoneticPr fontId="1"/>
  </si>
  <si>
    <t>■ speedデータまとめマクロ</t>
    <phoneticPr fontId="1"/>
  </si>
  <si>
    <t>下記　すべて入力後、実行ボタンを押してください。</t>
    <rPh sb="0" eb="2">
      <t>カキ</t>
    </rPh>
    <rPh sb="6" eb="8">
      <t>ニュウリョク</t>
    </rPh>
    <rPh sb="8" eb="9">
      <t>ゴ</t>
    </rPh>
    <rPh sb="10" eb="12">
      <t>ジッコウ</t>
    </rPh>
    <rPh sb="16" eb="17">
      <t>オ</t>
    </rPh>
    <phoneticPr fontId="1"/>
  </si>
  <si>
    <t>Y軸　　</t>
    <phoneticPr fontId="1"/>
  </si>
  <si>
    <t>Srpot</t>
  </si>
  <si>
    <t>toku1</t>
  </si>
  <si>
    <t>toku1</t>
    <phoneticPr fontId="1"/>
  </si>
  <si>
    <t>toku2</t>
  </si>
  <si>
    <t>toku2</t>
    <phoneticPr fontId="1"/>
  </si>
  <si>
    <t>toku3</t>
  </si>
  <si>
    <t>toku3</t>
    <phoneticPr fontId="1"/>
  </si>
  <si>
    <t>tokuA</t>
  </si>
  <si>
    <t>Qs01</t>
    <phoneticPr fontId="1"/>
  </si>
  <si>
    <t>TEST01</t>
    <phoneticPr fontId="1"/>
  </si>
  <si>
    <t>ZTEST01</t>
    <phoneticPr fontId="1"/>
  </si>
  <si>
    <t>Extract11</t>
  </si>
  <si>
    <t>NSADDLE</t>
    <phoneticPr fontId="1"/>
  </si>
  <si>
    <t>XNADDLE</t>
    <phoneticPr fontId="1"/>
  </si>
  <si>
    <t>ELECTRON</t>
    <phoneticPr fontId="1"/>
  </si>
  <si>
    <t>PLT|EXT</t>
    <phoneticPr fontId="1"/>
  </si>
  <si>
    <t>Qs02</t>
    <phoneticPr fontId="1"/>
  </si>
  <si>
    <t>SRpot</t>
  </si>
  <si>
    <t>Qs02</t>
  </si>
  <si>
    <t>imp07</t>
  </si>
  <si>
    <t>imp08</t>
  </si>
  <si>
    <t>※　今回</t>
    <rPh sb="2" eb="4">
      <t>コンカイ</t>
    </rPh>
    <phoneticPr fontId="1"/>
  </si>
  <si>
    <t>SRPot</t>
    <phoneticPr fontId="1"/>
  </si>
  <si>
    <t>Y軸が 　いか指定されているなら　Srpot で１つのグラフを作り。 Toku1, toku2… でも１つずつ別個のグラフを作る</t>
    <rPh sb="1" eb="2">
      <t>ジク</t>
    </rPh>
    <rPh sb="7" eb="9">
      <t>シテイ</t>
    </rPh>
    <rPh sb="31" eb="32">
      <t>ツク</t>
    </rPh>
    <rPh sb="55" eb="57">
      <t>ベッコ</t>
    </rPh>
    <rPh sb="62" eb="63">
      <t>ツク</t>
    </rPh>
    <phoneticPr fontId="1"/>
  </si>
  <si>
    <t>matC</t>
    <phoneticPr fontId="1"/>
  </si>
  <si>
    <t>Extract2</t>
    <phoneticPr fontId="1"/>
  </si>
  <si>
    <t>imp09</t>
  </si>
  <si>
    <t>imp10</t>
  </si>
  <si>
    <t>imp11</t>
  </si>
  <si>
    <t>imp12</t>
  </si>
  <si>
    <t>CWL1 =1.10E+12,matA =2.00E+11,OFD =3.11E+11,</t>
  </si>
  <si>
    <t>CWL1 =1.20E+12,matA =2.00E+11,OFD =3.30E+11,</t>
  </si>
  <si>
    <t>CWL1 =1.30E+12,matA =3.00E+11,OFD =3.30E+11,</t>
  </si>
  <si>
    <t>CWL1 =1.30E+12,matA =3.00E+11,OFD =3.60E+11,</t>
  </si>
  <si>
    <t>Y軸=toku1</t>
    <rPh sb="1" eb="2">
      <t>ジク</t>
    </rPh>
    <phoneticPr fontId="1"/>
  </si>
  <si>
    <t>条件</t>
    <rPh sb="0" eb="2">
      <t>ジョウケン</t>
    </rPh>
    <phoneticPr fontId="1"/>
  </si>
  <si>
    <t>CWL1_dose</t>
    <phoneticPr fontId="1"/>
  </si>
  <si>
    <t>matA_dose</t>
  </si>
  <si>
    <t>matB_dose</t>
  </si>
  <si>
    <t>matC_dose</t>
  </si>
  <si>
    <t>matD_dose</t>
  </si>
  <si>
    <t>OFD_dose</t>
  </si>
  <si>
    <t>1SR_dose</t>
  </si>
  <si>
    <t>matE_dose</t>
  </si>
  <si>
    <t>設定したいものにチェックしてください</t>
    <rPh sb="0" eb="2">
      <t>セッテイ</t>
    </rPh>
    <phoneticPr fontId="1"/>
  </si>
  <si>
    <t>散布図グルーピング対象</t>
    <rPh sb="0" eb="3">
      <t>サンプズ</t>
    </rPh>
    <rPh sb="9" eb="11">
      <t>タイショウ</t>
    </rPh>
    <phoneticPr fontId="1"/>
  </si>
  <si>
    <t>CWL1_dose</t>
  </si>
  <si>
    <t>_</t>
  </si>
  <si>
    <t>レ</t>
  </si>
  <si>
    <t>■ 散布図フォーマット</t>
    <rPh sb="2" eb="5">
      <t>サンプズ</t>
    </rPh>
    <phoneticPr fontId="1"/>
  </si>
  <si>
    <t>ディレクトリ名</t>
    <rPh sb="6" eb="7">
      <t>メイ</t>
    </rPh>
    <phoneticPr fontId="1"/>
  </si>
  <si>
    <t>01_TGon</t>
  </si>
  <si>
    <t>03_Qs</t>
  </si>
  <si>
    <t>グラフ作成_散布図_グルーピング_選択肢</t>
  </si>
  <si>
    <t>■散布図</t>
  </si>
  <si>
    <t>Y軸=toku1 :01_TGoff</t>
  </si>
  <si>
    <t>グルーピング</t>
  </si>
  <si>
    <t>X軸</t>
  </si>
  <si>
    <t>Y軸=tokuA :01_TGon</t>
  </si>
  <si>
    <t>Y軸=SRpot :01_TGoff</t>
  </si>
  <si>
    <t>Y軸=Qs02 :03_Qs</t>
  </si>
  <si>
    <t>e12</t>
    <phoneticPr fontId="1"/>
  </si>
  <si>
    <t>e11</t>
    <phoneticPr fontId="1"/>
  </si>
  <si>
    <t>C:\kuroda\work\00_TCAD\20210701_PDsim\第1要望_自動グラフ作成_Excelマクロ\デバッグ用_マクロインプットデータ\マクロインプットデータ_設定ファイル.xlsx</t>
    <phoneticPr fontId="1"/>
  </si>
  <si>
    <t>CWL1_dose =1.10E+12,matA_dose =2.00E+11,OFD_dose =3.11E+11,</t>
  </si>
  <si>
    <t>CWL1_dose =1.20E+12,matA_dose =2.00E+11,OFD_dose =3.11E+11,</t>
  </si>
  <si>
    <t>CWL1_dose =1.10E+12,matA_dose =2.00E+11,OFD_dose =3.30E+11,</t>
  </si>
  <si>
    <t>CWL1_dose =1.20E+12,matA_dose =2.00E+11,OFD_dose =3.30E+11,</t>
  </si>
  <si>
    <t>グラフ作成_散布図_X軸コンボボックス</t>
  </si>
  <si>
    <t>imp01_w1</t>
    <phoneticPr fontId="1"/>
  </si>
  <si>
    <t>imp01_w2</t>
  </si>
  <si>
    <t>imp01_w3</t>
  </si>
  <si>
    <t>imp01_w4</t>
  </si>
  <si>
    <t>imp01_w5</t>
  </si>
  <si>
    <t>imp01_w6</t>
  </si>
  <si>
    <t>サマリグラフ作成するもの一覧を書いてください。</t>
  </si>
  <si>
    <t>デフォルトは、SPEED DataTableの特性全てですが、必要なものだけ残して、対象外項目は削除して下さい。</t>
  </si>
  <si>
    <t>グラフ作成_散布図_Y軸_ユーザー選択</t>
  </si>
  <si>
    <t>imp01</t>
    <phoneticPr fontId="1"/>
  </si>
  <si>
    <t>図の一部を塗りつぶす　（縦　横でそれぞれ設定が違う）</t>
    <rPh sb="0" eb="1">
      <t>ズ</t>
    </rPh>
    <rPh sb="2" eb="4">
      <t>イチブ</t>
    </rPh>
    <rPh sb="5" eb="6">
      <t>ヌ</t>
    </rPh>
    <rPh sb="12" eb="13">
      <t>タテ</t>
    </rPh>
    <rPh sb="14" eb="15">
      <t>ヨコ</t>
    </rPh>
    <rPh sb="20" eb="22">
      <t>セッテイ</t>
    </rPh>
    <rPh sb="23" eb="24">
      <t>チガ</t>
    </rPh>
    <phoneticPr fontId="1"/>
  </si>
  <si>
    <t>月</t>
    <rPh sb="0" eb="1">
      <t>ツキ</t>
    </rPh>
    <phoneticPr fontId="1"/>
  </si>
  <si>
    <t>1月</t>
    <rPh sb="1" eb="2">
      <t>ガツ</t>
    </rPh>
    <phoneticPr fontId="1"/>
  </si>
  <si>
    <t>2月</t>
    <rPh sb="1" eb="2">
      <t>ガツ</t>
    </rPh>
    <phoneticPr fontId="1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</si>
  <si>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</si>
  <si>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</si>
  <si>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</si>
  <si>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</si>
  <si>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</si>
  <si>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</si>
  <si>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</si>
  <si>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</si>
  <si>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</si>
  <si>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</si>
  <si>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売上金額</t>
    <rPh sb="0" eb="2">
      <t>ウリアゲ</t>
    </rPh>
    <rPh sb="2" eb="4">
      <t>キンガク</t>
    </rPh>
    <phoneticPr fontId="1"/>
  </si>
  <si>
    <t>・範囲塗りつぶし　表示</t>
    <rPh sb="1" eb="3">
      <t>ハンイ</t>
    </rPh>
    <rPh sb="3" eb="4">
      <t>ヌ</t>
    </rPh>
    <rPh sb="9" eb="11">
      <t>ヒョウジ</t>
    </rPh>
    <phoneticPr fontId="1"/>
  </si>
  <si>
    <t>参考  https://www.waenavi.com/entry/20190124/1548275841</t>
    <rPh sb="0" eb="2">
      <t>サンコウ</t>
    </rPh>
    <phoneticPr fontId="1"/>
  </si>
  <si>
    <t>←y軸　白部分</t>
    <rPh sb="2" eb="3">
      <t>ジク</t>
    </rPh>
    <rPh sb="4" eb="5">
      <t>シロ</t>
    </rPh>
    <rPh sb="5" eb="7">
      <t>ブブン</t>
    </rPh>
    <phoneticPr fontId="1"/>
  </si>
  <si>
    <t>←y軸　赤部分</t>
    <rPh sb="2" eb="3">
      <t>ジク</t>
    </rPh>
    <rPh sb="4" eb="7">
      <t>アカブブン</t>
    </rPh>
    <phoneticPr fontId="1"/>
  </si>
  <si>
    <t>積み上げグラフ</t>
    <rPh sb="0" eb="1">
      <t>ツ</t>
    </rPh>
    <rPh sb="2" eb="3">
      <t>ア</t>
    </rPh>
    <phoneticPr fontId="1"/>
  </si>
  <si>
    <t>全体を組み合わせグラフで作る</t>
    <rPh sb="0" eb="2">
      <t>ゼンタイ</t>
    </rPh>
    <rPh sb="3" eb="4">
      <t>ク</t>
    </rPh>
    <rPh sb="5" eb="6">
      <t>ア</t>
    </rPh>
    <rPh sb="12" eb="13">
      <t>ツク</t>
    </rPh>
    <phoneticPr fontId="1"/>
  </si>
  <si>
    <t>系列2 積み上げ縦棒（青）</t>
    <rPh sb="0" eb="2">
      <t>ケイレツ</t>
    </rPh>
    <rPh sb="4" eb="5">
      <t>ツ</t>
    </rPh>
    <rPh sb="6" eb="7">
      <t>ア</t>
    </rPh>
    <rPh sb="8" eb="10">
      <t>タテボウ</t>
    </rPh>
    <rPh sb="11" eb="12">
      <t>アオ</t>
    </rPh>
    <phoneticPr fontId="1"/>
  </si>
  <si>
    <t>系列1　折れ線グラフ</t>
    <rPh sb="0" eb="2">
      <t>ケイレツ</t>
    </rPh>
    <rPh sb="4" eb="5">
      <t>オ</t>
    </rPh>
    <rPh sb="6" eb="7">
      <t>セン</t>
    </rPh>
    <phoneticPr fontId="1"/>
  </si>
  <si>
    <t>系列3 積み上げ縦棒（赤）</t>
    <rPh sb="0" eb="2">
      <t>ケイレツ</t>
    </rPh>
    <rPh sb="4" eb="5">
      <t>ツ</t>
    </rPh>
    <rPh sb="6" eb="7">
      <t>ア</t>
    </rPh>
    <rPh sb="8" eb="10">
      <t>タテボウ</t>
    </rPh>
    <rPh sb="11" eb="12">
      <t>アカ</t>
    </rPh>
    <phoneticPr fontId="1"/>
  </si>
  <si>
    <t>nx5-21-b2.xlsx</t>
    <phoneticPr fontId="1"/>
  </si>
  <si>
    <t>X軸方向塗りつぶしの場合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</si>
  <si>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[1] データのimp01 ～データ最終セルまで選んで折れ線グラフ作成</t>
    <rPh sb="18" eb="20">
      <t>サイシュウ</t>
    </rPh>
    <rPh sb="24" eb="25">
      <t>エラ</t>
    </rPh>
    <rPh sb="27" eb="28">
      <t>オ</t>
    </rPh>
    <rPh sb="29" eb="30">
      <t>セン</t>
    </rPh>
    <rPh sb="33" eb="35">
      <t>サクセイ</t>
    </rPh>
    <phoneticPr fontId="1"/>
  </si>
  <si>
    <t>[3] グラフの部分選択 2軸にした塗りつぶし箇所クリックでデータ系列の書式メニューがでてくるので、①系列の「要素の間隔]を0%にする　②塗りつぶしの色変更、線なしにする</t>
    <rPh sb="8" eb="10">
      <t>ブブン</t>
    </rPh>
    <rPh sb="10" eb="12">
      <t>センタク</t>
    </rPh>
    <rPh sb="14" eb="15">
      <t>ジク</t>
    </rPh>
    <rPh sb="18" eb="19">
      <t>ヌ</t>
    </rPh>
    <rPh sb="23" eb="25">
      <t>カショ</t>
    </rPh>
    <rPh sb="33" eb="35">
      <t>ケイレツ</t>
    </rPh>
    <rPh sb="36" eb="38">
      <t>ショシキ</t>
    </rPh>
    <rPh sb="51" eb="53">
      <t>ケイレツ</t>
    </rPh>
    <rPh sb="55" eb="57">
      <t>ヨウソ</t>
    </rPh>
    <rPh sb="58" eb="60">
      <t>カンカク</t>
    </rPh>
    <rPh sb="69" eb="70">
      <t>ヌ</t>
    </rPh>
    <rPh sb="75" eb="76">
      <t>イロ</t>
    </rPh>
    <rPh sb="76" eb="78">
      <t>ヘンコウ</t>
    </rPh>
    <rPh sb="79" eb="80">
      <t>セン</t>
    </rPh>
    <phoneticPr fontId="1"/>
  </si>
  <si>
    <t>X軸範囲で塗りつぶす場合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</si>
  <si>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Y軸範囲で塗りつぶす場合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</si>
  <si>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[2] グラフ選択　→　右クリック　→グラフの種類の変更　→組み合わせ　1軸を1列目=折れ線グラフ、2軸を２列目＝縦棒グラフに設定する</t>
    <rPh sb="7" eb="9">
      <t>センタク</t>
    </rPh>
    <rPh sb="12" eb="13">
      <t>ミギ</t>
    </rPh>
    <rPh sb="23" eb="25">
      <t>シュルイ</t>
    </rPh>
    <rPh sb="26" eb="28">
      <t>ヘンコウ</t>
    </rPh>
    <rPh sb="30" eb="31">
      <t>ク</t>
    </rPh>
    <rPh sb="32" eb="33">
      <t>ア</t>
    </rPh>
    <rPh sb="37" eb="38">
      <t>ジク</t>
    </rPh>
    <rPh sb="40" eb="42">
      <t>レツメ</t>
    </rPh>
    <rPh sb="43" eb="44">
      <t>オ</t>
    </rPh>
    <rPh sb="45" eb="46">
      <t>セン</t>
    </rPh>
    <rPh sb="51" eb="52">
      <t>ジク</t>
    </rPh>
    <rPh sb="54" eb="55">
      <t>レツ</t>
    </rPh>
    <rPh sb="55" eb="56">
      <t>メ</t>
    </rPh>
    <rPh sb="57" eb="59">
      <t>タテボウ</t>
    </rPh>
    <rPh sb="63" eb="65">
      <t>セッテイ</t>
    </rPh>
    <phoneticPr fontId="1"/>
  </si>
  <si>
    <t>↓範囲2:　基準値B　に積み上げてなるように　コードでは (基準値 B-A)</t>
    <rPh sb="1" eb="3">
      <t>ハンイ</t>
    </rPh>
    <rPh sb="6" eb="9">
      <t>キジュンチ</t>
    </rPh>
    <rPh sb="12" eb="13">
      <t>ツ</t>
    </rPh>
    <rPh sb="14" eb="15">
      <t>ア</t>
    </rPh>
    <rPh sb="30" eb="33">
      <t>キジュンアタイ</t>
    </rPh>
    <phoneticPr fontId="1"/>
  </si>
  <si>
    <t>↓範囲3:　積み上げて、全特性の最大値になるように　コードでは（特性最大値 - 基準値B)</t>
    <rPh sb="1" eb="3">
      <t>ハンイ</t>
    </rPh>
    <rPh sb="6" eb="7">
      <t>ツ</t>
    </rPh>
    <rPh sb="8" eb="9">
      <t>ア</t>
    </rPh>
    <rPh sb="12" eb="13">
      <t>ゼン</t>
    </rPh>
    <rPh sb="13" eb="15">
      <t>トクセイ</t>
    </rPh>
    <rPh sb="16" eb="19">
      <t>サイダイチ</t>
    </rPh>
    <rPh sb="32" eb="34">
      <t>トクセイ</t>
    </rPh>
    <rPh sb="34" eb="37">
      <t>サイダイアタイ</t>
    </rPh>
    <rPh sb="40" eb="43">
      <t>キジュンアタイ</t>
    </rPh>
    <phoneticPr fontId="1"/>
  </si>
  <si>
    <t>Y軸方向塗りつぶしの場合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</si>
  <si>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　　色の塗りつぶしは、まず濃い色選んで、透明度90%にする。目盛りが見えるようにするため。</t>
    <rPh sb="2" eb="3">
      <t>イロ</t>
    </rPh>
    <rPh sb="4" eb="5">
      <t>ヌ</t>
    </rPh>
    <rPh sb="13" eb="14">
      <t>コ</t>
    </rPh>
    <rPh sb="15" eb="16">
      <t>イロ</t>
    </rPh>
    <rPh sb="16" eb="17">
      <t>エラ</t>
    </rPh>
    <rPh sb="20" eb="23">
      <t>トウメイド</t>
    </rPh>
    <rPh sb="30" eb="32">
      <t>メモ</t>
    </rPh>
    <rPh sb="34" eb="35">
      <t>ミ</t>
    </rPh>
    <phoneticPr fontId="1"/>
  </si>
  <si>
    <t>範囲1:　基準値A　全特性値の最小値より大きく、最大値より小さい範囲 コードでも基準値A</t>
    <rPh sb="0" eb="2">
      <t>ハンイ</t>
    </rPh>
    <rPh sb="5" eb="8">
      <t>キジュンチ</t>
    </rPh>
    <rPh sb="10" eb="11">
      <t>ゼン</t>
    </rPh>
    <rPh sb="11" eb="13">
      <t>トクセイ</t>
    </rPh>
    <rPh sb="13" eb="14">
      <t>アタイ</t>
    </rPh>
    <rPh sb="15" eb="18">
      <t>サイショウアタイ</t>
    </rPh>
    <rPh sb="20" eb="21">
      <t>オオ</t>
    </rPh>
    <rPh sb="24" eb="27">
      <t>サイダイアタイ</t>
    </rPh>
    <rPh sb="29" eb="30">
      <t>チイ</t>
    </rPh>
    <rPh sb="32" eb="34">
      <t>ハンイ</t>
    </rPh>
    <rPh sb="40" eb="43">
      <t>キジュンアタイ</t>
    </rPh>
    <phoneticPr fontId="1"/>
  </si>
  <si>
    <t>範囲2:　基準値B　に積み上げてなるように　コードでは (基準値 B-A)</t>
    <rPh sb="0" eb="2">
      <t>ハンイ</t>
    </rPh>
    <rPh sb="5" eb="8">
      <t>キジュンチ</t>
    </rPh>
    <rPh sb="11" eb="12">
      <t>ツ</t>
    </rPh>
    <rPh sb="13" eb="14">
      <t>ア</t>
    </rPh>
    <rPh sb="29" eb="32">
      <t>キジュンアタイ</t>
    </rPh>
    <phoneticPr fontId="1"/>
  </si>
  <si>
    <t>範囲3:　積み上げて、全特性の最大値になるように　コードでは（特性最大値 - 基準値B)</t>
    <rPh sb="0" eb="2">
      <t>ハンイ</t>
    </rPh>
    <rPh sb="5" eb="6">
      <t>ツ</t>
    </rPh>
    <rPh sb="7" eb="8">
      <t>ア</t>
    </rPh>
    <rPh sb="11" eb="12">
      <t>ゼン</t>
    </rPh>
    <rPh sb="12" eb="14">
      <t>トクセイ</t>
    </rPh>
    <rPh sb="15" eb="18">
      <t>サイダイチ</t>
    </rPh>
    <rPh sb="31" eb="33">
      <t>トクセイ</t>
    </rPh>
    <rPh sb="33" eb="36">
      <t>サイダイアタイ</t>
    </rPh>
    <rPh sb="39" eb="42">
      <t>キジュンアタイ</t>
    </rPh>
    <phoneticPr fontId="1"/>
  </si>
  <si>
    <t>↓塗り範囲1:　基準値A　全特性値の最小値より大きく、最大値より小さい範囲 コードでも基準値A</t>
    <rPh sb="1" eb="2">
      <t>ヌリ</t>
    </rPh>
    <rPh sb="3" eb="5">
      <t>ハンイ</t>
    </rPh>
    <rPh sb="8" eb="11">
      <t>キジュンチ</t>
    </rPh>
    <rPh sb="13" eb="14">
      <t>ゼン</t>
    </rPh>
    <rPh sb="14" eb="16">
      <t>トクセイ</t>
    </rPh>
    <rPh sb="16" eb="17">
      <t>アタイ</t>
    </rPh>
    <rPh sb="18" eb="21">
      <t>サイショウアタイ</t>
    </rPh>
    <rPh sb="23" eb="24">
      <t>オオ</t>
    </rPh>
    <rPh sb="27" eb="30">
      <t>サイダイアタイ</t>
    </rPh>
    <rPh sb="32" eb="33">
      <t>チイ</t>
    </rPh>
    <rPh sb="35" eb="37">
      <t>ハンイ</t>
    </rPh>
    <rPh sb="43" eb="46">
      <t>キジュンアタイ</t>
    </rPh>
    <phoneticPr fontId="1"/>
  </si>
  <si>
    <t>[4] 塗りつぶした後で、軸の最小値・最大値を設定して上下の余白をなくす</t>
    <rPh sb="4" eb="5">
      <t>ヌ</t>
    </rPh>
    <rPh sb="10" eb="11">
      <t>アト</t>
    </rPh>
    <rPh sb="13" eb="14">
      <t>ジク</t>
    </rPh>
    <rPh sb="15" eb="18">
      <t>サイショウアタイ</t>
    </rPh>
    <rPh sb="19" eb="22">
      <t>サイダイアタイ</t>
    </rPh>
    <rPh sb="23" eb="25">
      <t>セッテイ</t>
    </rPh>
    <rPh sb="27" eb="29">
      <t>ジョウゲ</t>
    </rPh>
    <rPh sb="30" eb="32">
      <t>ヨハク</t>
    </rPh>
    <phoneticPr fontId="1"/>
  </si>
  <si>
    <t>[1]～[4] X軸と同じだが、系列がクライテリアの範囲３か所あるので、1つずつ設定する。</t>
    <rPh sb="9" eb="10">
      <t>ジク</t>
    </rPh>
    <rPh sb="11" eb="12">
      <t>オナ</t>
    </rPh>
    <rPh sb="16" eb="18">
      <t>ケイレツ</t>
    </rPh>
    <rPh sb="26" eb="28">
      <t>ハンイ</t>
    </rPh>
    <rPh sb="30" eb="31">
      <t>ショ</t>
    </rPh>
    <rPh sb="40" eb="42">
      <t>セッテイ</t>
    </rPh>
    <phoneticPr fontId="1"/>
  </si>
  <si>
    <t>対数グラフ</t>
    <rPh sb="0" eb="2">
      <t>タイスウ</t>
    </rPh>
    <phoneticPr fontId="1"/>
  </si>
  <si>
    <t>X軸、Y軸　グラフ内の軸の数字の部分を選択して右クリック</t>
    <rPh sb="1" eb="2">
      <t>ジク</t>
    </rPh>
    <rPh sb="4" eb="5">
      <t>ジク</t>
    </rPh>
    <rPh sb="9" eb="10">
      <t>ナイ</t>
    </rPh>
    <rPh sb="11" eb="12">
      <t>ジク</t>
    </rPh>
    <rPh sb="13" eb="15">
      <t>スウジ</t>
    </rPh>
    <rPh sb="16" eb="18">
      <t>ブブン</t>
    </rPh>
    <rPh sb="19" eb="21">
      <t>センタク</t>
    </rPh>
    <rPh sb="23" eb="24">
      <t>ミギ</t>
    </rPh>
    <phoneticPr fontId="1"/>
  </si>
  <si>
    <t>→　軸の書式設定で対数表示する　をチェックONする</t>
    <rPh sb="2" eb="3">
      <t>ジク</t>
    </rPh>
    <rPh sb="4" eb="6">
      <t>ショシキ</t>
    </rPh>
    <rPh sb="6" eb="8">
      <t>セッテイ</t>
    </rPh>
    <rPh sb="9" eb="11">
      <t>タイスウ</t>
    </rPh>
    <rPh sb="11" eb="13">
      <t>ヒョウジ</t>
    </rPh>
    <phoneticPr fontId="1"/>
  </si>
  <si>
    <t>→　補助目盛線を表示する　をONにする</t>
    <rPh sb="2" eb="4">
      <t>ホジョ</t>
    </rPh>
    <rPh sb="4" eb="7">
      <t>メモリセン</t>
    </rPh>
    <rPh sb="8" eb="10">
      <t>ヒョウジ</t>
    </rPh>
    <phoneticPr fontId="1"/>
  </si>
  <si>
    <t>Field</t>
  </si>
  <si>
    <t>Unit</t>
  </si>
  <si>
    <t>x</t>
  </si>
  <si>
    <t>group</t>
  </si>
  <si>
    <t>01_TGoff_Extract7</t>
    <phoneticPr fontId="1"/>
  </si>
  <si>
    <t>01_TGon_Extract4</t>
    <phoneticPr fontId="1"/>
  </si>
  <si>
    <t>01_TGoff_Extract1</t>
    <phoneticPr fontId="1"/>
  </si>
  <si>
    <t>jyoken</t>
  </si>
  <si>
    <t>y_01_TGoff_Extract1</t>
  </si>
  <si>
    <t>y_01_TGon_Extract4</t>
  </si>
  <si>
    <t>y_01_TGoff_Extract7</t>
  </si>
  <si>
    <t>y_03_Qs_Extract2</t>
  </si>
  <si>
    <t>NAME</t>
  </si>
  <si>
    <t>filter</t>
  </si>
  <si>
    <t>Y軸=toku1 :01_TGoff_Extract1</t>
  </si>
  <si>
    <t>Y軸=tokuA :01_TGon_Extract4</t>
  </si>
  <si>
    <t>Y軸=SRpot :01_TGoff_Extract7</t>
  </si>
  <si>
    <t>Y軸=Qs02 :03_Qs_Extract2</t>
  </si>
  <si>
    <t>Mode</t>
  </si>
  <si>
    <t>PLT|EXT</t>
  </si>
  <si>
    <t>Name</t>
  </si>
  <si>
    <t>Object</t>
  </si>
  <si>
    <t>VMAX</t>
  </si>
  <si>
    <t>Extract1</t>
  </si>
  <si>
    <t>TEST01</t>
  </si>
  <si>
    <t>Qs01</t>
  </si>
  <si>
    <t>VMIN</t>
  </si>
  <si>
    <t>NSADDLE</t>
  </si>
  <si>
    <t>■　サマリ対象</t>
  </si>
  <si>
    <t>グラフ作成対象が多すぎると,処理が失敗することがあります。（目安グラフ100個以上が限度ですが、PCメモリ状況次第)</t>
  </si>
  <si>
    <t>C:\kuroda\work\00_TCAD\20210701_PDsim\第1要望_自動グラフ作成_Excelマクロ\デバッグ用_マクロインプットデータ\マクロインプットデータ_speedData.xlsx</t>
    <phoneticPr fontId="1"/>
  </si>
  <si>
    <t>グラフ作成_散布図_X軸コンボボックス_ユーザー選択</t>
    <phoneticPr fontId="1"/>
  </si>
  <si>
    <t>Extract8</t>
  </si>
  <si>
    <t>Extract9</t>
  </si>
  <si>
    <t>Extract12</t>
  </si>
  <si>
    <t>Extract13</t>
  </si>
  <si>
    <t>Extract14</t>
  </si>
  <si>
    <t>TEST02</t>
  </si>
  <si>
    <t>TEST03</t>
  </si>
  <si>
    <t>TEST04</t>
  </si>
  <si>
    <t>TEST05</t>
  </si>
  <si>
    <t>TEST06</t>
  </si>
  <si>
    <t>TEST07</t>
  </si>
  <si>
    <t>TEST08</t>
  </si>
  <si>
    <t>TEST09</t>
  </si>
  <si>
    <t>TEST10</t>
  </si>
  <si>
    <t>TEST11</t>
  </si>
  <si>
    <t>TEST12</t>
  </si>
  <si>
    <t>TEST13</t>
  </si>
  <si>
    <t>99_TEST</t>
    <phoneticPr fontId="1"/>
  </si>
  <si>
    <t>100_TEST</t>
  </si>
  <si>
    <t>101_TEST</t>
  </si>
  <si>
    <t>102_TEST</t>
  </si>
  <si>
    <t>103_TEST</t>
  </si>
  <si>
    <t>104_TEST</t>
  </si>
  <si>
    <t>105_TEST</t>
  </si>
  <si>
    <t>106_TEST</t>
  </si>
  <si>
    <t>107_TEST</t>
  </si>
  <si>
    <t>108_TEST</t>
  </si>
  <si>
    <t>109_TEST</t>
  </si>
  <si>
    <t>110_TEST</t>
  </si>
  <si>
    <t>111_TEST</t>
  </si>
  <si>
    <t>TEST</t>
    <phoneticPr fontId="1"/>
  </si>
  <si>
    <t>条件表1</t>
    <rPh sb="0" eb="2">
      <t>ジョウケン</t>
    </rPh>
    <rPh sb="2" eb="3">
      <t>ヒョウ</t>
    </rPh>
    <phoneticPr fontId="1"/>
  </si>
  <si>
    <t>コメント</t>
    <phoneticPr fontId="1"/>
  </si>
  <si>
    <t>As</t>
    <phoneticPr fontId="1"/>
  </si>
  <si>
    <t>B</t>
    <phoneticPr fontId="1"/>
  </si>
  <si>
    <t>300kev</t>
    <phoneticPr fontId="1"/>
  </si>
  <si>
    <t>100kev</t>
    <phoneticPr fontId="1"/>
  </si>
  <si>
    <t>200kev</t>
    <phoneticPr fontId="1"/>
  </si>
  <si>
    <t>1000kev</t>
    <phoneticPr fontId="1"/>
  </si>
  <si>
    <t>30kev</t>
    <phoneticPr fontId="1"/>
  </si>
  <si>
    <t>150kev</t>
    <phoneticPr fontId="1"/>
  </si>
  <si>
    <t>1200kev</t>
    <phoneticPr fontId="1"/>
  </si>
  <si>
    <t>01_TGoff/imp01</t>
  </si>
  <si>
    <t>01_TGoff/imp02</t>
  </si>
  <si>
    <t>01_TGoff/imp03</t>
  </si>
  <si>
    <t>01_TGon/imp04</t>
  </si>
  <si>
    <t>01_TGon/imp05</t>
  </si>
  <si>
    <t>01_TGon/imp06</t>
  </si>
  <si>
    <t>01_TGon/imp07</t>
  </si>
  <si>
    <t>01_TGon/imp08</t>
  </si>
  <si>
    <t>01_TGon/imp09</t>
  </si>
  <si>
    <t>01_TGon/imp10</t>
  </si>
  <si>
    <t>01_TGon/imp11</t>
  </si>
  <si>
    <t>01_TGon/imp12</t>
  </si>
  <si>
    <t>条件表2 　重複あり</t>
    <rPh sb="0" eb="2">
      <t>ジョウケン</t>
    </rPh>
    <rPh sb="2" eb="3">
      <t>ヒョウ</t>
    </rPh>
    <rPh sb="6" eb="8">
      <t>ジュウフク</t>
    </rPh>
    <phoneticPr fontId="1"/>
  </si>
  <si>
    <t>02_TGoff/imp01</t>
  </si>
  <si>
    <t>02_TGoff/imp02</t>
  </si>
  <si>
    <t>02_TGoff/imp03</t>
  </si>
  <si>
    <t>02_TGoff/imp04</t>
  </si>
  <si>
    <t>02_TGoff/imp05</t>
  </si>
  <si>
    <t>02_TGoff/imp06</t>
  </si>
  <si>
    <t>02_TGoff/imp07</t>
  </si>
  <si>
    <t>02_TGoff/imp08</t>
  </si>
  <si>
    <t>02_TGoff/imp09</t>
  </si>
  <si>
    <t>02_TGoff/imp10</t>
  </si>
  <si>
    <t>02_TGoff/imp11</t>
  </si>
  <si>
    <t>02_TGoff/imp12</t>
  </si>
  <si>
    <t>条件表3  speedDataと差異あり</t>
    <rPh sb="0" eb="2">
      <t>ジョウケン</t>
    </rPh>
    <rPh sb="2" eb="3">
      <t>ヒョウ</t>
    </rPh>
    <rPh sb="16" eb="18">
      <t>サイ</t>
    </rPh>
    <phoneticPr fontId="1"/>
  </si>
  <si>
    <t>01_TGon/imp99</t>
    <phoneticPr fontId="1"/>
  </si>
  <si>
    <t>01_TGon/imp11</t>
    <phoneticPr fontId="1"/>
  </si>
  <si>
    <t>01_TGon/imp12</t>
    <phoneticPr fontId="1"/>
  </si>
  <si>
    <t>指定範囲 $E$10:$M$22</t>
    <phoneticPr fontId="1"/>
  </si>
  <si>
    <t>C:\kuroda\work\00_TCAD\20210701_PDsim\第1要望_自動グラフ作成_Excelマクロ\デバッグ用_マクロインプットデータ\マクロインプットデータ_条件表.xlsx</t>
    <phoneticPr fontId="1"/>
  </si>
  <si>
    <t>■サマリグラフ speed - DataTable</t>
  </si>
  <si>
    <t>CWL1_dose =1.10E+12,OFD_dose =3.11E+11,</t>
  </si>
  <si>
    <t>CWL1_dose =1.20E+12,OFD_dose =3.11E+11,</t>
  </si>
  <si>
    <t>CWL1_dose =1.30E+12,OFD_dose =3.11E+11,</t>
  </si>
  <si>
    <t>CWL1_dose =1.10E+12,OFD_dose =3.30E+11,</t>
  </si>
  <si>
    <t>CWL1_dose =1.20E+12,OFD_dose =3.30E+11,</t>
  </si>
  <si>
    <t>CWL1_dose =1.30E+12,OFD_dose =3.30E+11,</t>
  </si>
  <si>
    <t>CWL1_dose =1.10E+12,OFD_dose =3.60E+11,</t>
  </si>
  <si>
    <t>CWL1_dose =1.20E+12,OFD_dose =3.60E+11,</t>
  </si>
  <si>
    <t>CWL1_dose =1.30E+12,OFD_dose =3.60E+11,</t>
  </si>
  <si>
    <t>グラフ作成_散布図_グルーピング_ユーザー選択された項目</t>
  </si>
  <si>
    <t>グラフ作成_散布図_グルーピング_組み合わせ</t>
  </si>
  <si>
    <t>配列 g_gui_scatterG_ary = gui_grpfilter_ary</t>
  </si>
  <si>
    <t>03_Qs_Extract2</t>
    <phoneticPr fontId="1"/>
  </si>
  <si>
    <t>■[DEBUG] data_ary内容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</si>
</sst>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20"/>
      <color theme="1"/>
      <name val="Yu Gothic"/>
      <family val="2"/>
      <scheme val="minor"/>
    </font>
    <font>
      <sz val="9"/>
      <color rgb="FF00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theme="1"/>
      <name val="ＭＳ Ｐゴシック"/>
      <family val="2"/>
      <charset val="128"/>
    </font>
  </fonts>
  <fills count="20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669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</cellStyleXfs>
  <cellXfs count="41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0" fontId="0" fillId="2" borderId="0" xfId="0" applyFill="1"/>
    <xf numFmtId="0" fontId="0" fillId="6" borderId="0" xfId="0" applyFill="1"/>
    <xf numFmtId="0" fontId="0" fillId="7" borderId="0" xfId="0" applyFill="1"/>
    <xf numFmtId="11" fontId="0" fillId="7" borderId="0" xfId="0" applyNumberFormat="1" applyFill="1"/>
    <xf numFmtId="0" fontId="0" fillId="7" borderId="1" xfId="0" applyFill="1" applyBorder="1"/>
    <xf numFmtId="0" fontId="0" fillId="7" borderId="1" xfId="0" applyNumberFormat="1" applyFill="1" applyBorder="1"/>
    <xf numFmtId="0" fontId="0" fillId="0" borderId="1" xfId="0" applyFill="1" applyBorder="1"/>
    <xf numFmtId="0" fontId="2" fillId="0" borderId="0" xfId="0" applyFont="1"/>
    <xf numFmtId="0" fontId="0" fillId="0" borderId="2" xfId="0" applyFill="1" applyBorder="1"/>
    <xf numFmtId="0" fontId="0" fillId="8" borderId="0" xfId="0" applyFill="1"/>
    <xf numFmtId="0" fontId="0" fillId="8" borderId="1" xfId="0" applyFill="1" applyBorder="1"/>
    <xf numFmtId="0" fontId="4" fillId="8" borderId="0" xfId="0" applyFont="1" applyFill="1"/>
    <xf numFmtId="0" fontId="0" fillId="11" borderId="1" xfId="0" applyFill="1" applyBorder="1"/>
    <xf numFmtId="0" fontId="0" fillId="10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9" borderId="0" xfId="0" applyFill="1"/>
    <xf numFmtId="11" fontId="0" fillId="3" borderId="0" xfId="0" applyNumberFormat="1" applyFill="1"/>
    <xf numFmtId="11" fontId="0" fillId="4" borderId="0" xfId="0" applyNumberFormat="1" applyFill="1"/>
    <xf numFmtId="11" fontId="0" fillId="5" borderId="0" xfId="0" applyNumberFormat="1" applyFill="1"/>
    <xf numFmtId="11" fontId="0" fillId="14" borderId="0" xfId="0" applyNumberFormat="1" applyFill="1"/>
    <xf numFmtId="11" fontId="0" fillId="15" borderId="0" xfId="0" applyNumberFormat="1" applyFill="1"/>
    <xf numFmtId="11" fontId="0" fillId="16" borderId="0" xfId="0" applyNumberFormat="1" applyFill="1"/>
    <xf numFmtId="0" fontId="0" fillId="11" borderId="0" xfId="0" applyFill="1" applyBorder="1"/>
    <xf numFmtId="0" fontId="0" fillId="8" borderId="0" xfId="0" applyFill="1" applyBorder="1"/>
    <xf numFmtId="0" fontId="0" fillId="8" borderId="0" xfId="0" applyFill="1" applyBorder="1" applyAlignment="1">
      <alignment horizontal="right"/>
    </xf>
    <xf numFmtId="0" fontId="0" fillId="17" borderId="1" xfId="0" applyFill="1" applyBorder="1"/>
    <xf numFmtId="0" fontId="0" fillId="18" borderId="1" xfId="0" applyFill="1" applyBorder="1"/>
    <xf numFmtId="0" fontId="0" fillId="0" borderId="0" xfId="0" applyAlignment="1">
      <alignment horizontal="center"/>
    </xf>
    <xf numFmtId="0" fontId="7" fillId="0" borderId="0" xfId="1" applyAlignment="1">
      <alignment horizontal="center"/>
    </xf>
    <xf numFmtId="0" fontId="7" fillId="0" borderId="0" xfId="1">
      <alignment vertical="center"/>
    </xf>
    <xf numFmtId="0" fontId="7" fillId="0" borderId="0" xfId="1" applyAlignment="1"/>
    <xf numFmtId="38" fontId="0" fillId="0" borderId="0" xfId="2" applyFont="1" applyAlignment="1"/>
    <xf numFmtId="0" fontId="0" fillId="0" borderId="0" xfId="0" applyNumberFormat="1"/>
    <xf numFmtId="0" fontId="0" fillId="0" borderId="0" xfId="0" applyBorder="1"/>
    <xf numFmtId="0" fontId="0" fillId="9" borderId="1" xfId="0" applyFill="1" applyBorder="1"/>
    <xf numFmtId="0" fontId="0" fillId="19" borderId="1" xfId="0" applyFill="1" applyBorder="1"/>
  </cellXfs>
  <cellStyles count="3">
    <cellStyle name="桁区切り 2" xfId="2" xr:uid="{DA12CB6D-DDE7-4956-875D-1BB5F4D5726C}"/>
    <cellStyle name="標準" xfId="0" builtinId="0"/>
    <cellStyle name="標準 2" xfId="1" xr:uid="{4315FEBE-AB6C-446E-BFF8-8F73EADAE494}"/>
  </cellStyles>
  <dxfs count="0"/>
  <tableStyles count="0" defaultTableStyle="TableStyleMedium2" defaultPivotStyle="PivotStyleLight16"/>
  <colors>
    <mruColors>
      <color rgb="FFFF00FF"/>
      <color rgb="FFFFCCFF"/>
      <color rgb="FF000000"/>
      <color rgb="FFFF99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toku2 Extract2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サマリ!$B$8</c:f>
              <c:strCache>
                <c:ptCount val="1"/>
                <c:pt idx="0">
                  <c:v>toku2</c:v>
                </c:pt>
              </c:strCache>
            </c:strRef>
          </c:tx>
          <c:cat>
            <c:strRef>
              <c:f>サマリ!$A$9:$A$20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サマリ!$B$9:$B$20</c:f>
              <c:numCache>
                <c:formatCode>General</c:formatCode>
                <c:ptCount val="12"/>
                <c:pt idx="0">
                  <c:v>6.1600000000000002E-2</c:v>
                </c:pt>
                <c:pt idx="1">
                  <c:v>6.1800000000000001E-2</c:v>
                </c:pt>
                <c:pt idx="2">
                  <c:v>6.2E-2</c:v>
                </c:pt>
                <c:pt idx="3">
                  <c:v>6.2199999999999998E-2</c:v>
                </c:pt>
                <c:pt idx="4">
                  <c:v>6.2399999999999997E-2</c:v>
                </c:pt>
                <c:pt idx="5">
                  <c:v>6.2600000000000003E-2</c:v>
                </c:pt>
                <c:pt idx="6">
                  <c:v>6.2799999999999995E-2</c:v>
                </c:pt>
                <c:pt idx="7">
                  <c:v>6.3E-2</c:v>
                </c:pt>
                <c:pt idx="8">
                  <c:v>6.3200000000000006E-2</c:v>
                </c:pt>
                <c:pt idx="9">
                  <c:v>6.3399999999999998E-2</c:v>
                </c:pt>
                <c:pt idx="10">
                  <c:v>6.3600000000000004E-2</c:v>
                </c:pt>
                <c:pt idx="11">
                  <c:v>6.3799999999999996E-2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21-4C0E-9AC5-ADF1A70C8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756576"/>
        <c:axId val="477753624"/>
      </c:lineChart>
      <c:catAx>
        <c:axId val="477756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7753624"/>
        <c:crosses val="autoZero"/>
        <c:auto val="1"/>
        <c:lblAlgn val="ctr"/>
        <c:lblOffset val="100"/>
        <c:noMultiLvlLbl val="0"/>
      </c:catAx>
      <c:valAx>
        <c:axId val="477753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77565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tokuA Extract4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サマリ!$H$8</c:f>
              <c:strCache>
                <c:ptCount val="1"/>
                <c:pt idx="0">
                  <c:v>tokuA</c:v>
                </c:pt>
              </c:strCache>
            </c:strRef>
          </c:tx>
          <c:cat>
            <c:strRef>
              <c:f>サマリ!$G$9:$G$20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サマリ!$H$9:$H$20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71-43DB-A071-C6E564C01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752312"/>
        <c:axId val="477759200"/>
      </c:lineChart>
      <c:catAx>
        <c:axId val="477752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7759200"/>
        <c:crosses val="autoZero"/>
        <c:auto val="1"/>
        <c:lblAlgn val="ctr"/>
        <c:lblOffset val="100"/>
        <c:noMultiLvlLbl val="0"/>
      </c:catAx>
      <c:valAx>
        <c:axId val="477759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775231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Extract7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サマリ!$N$8</c:f>
              <c:strCache>
                <c:ptCount val="1"/>
                <c:pt idx="0">
                  <c:v>SRpot</c:v>
                </c:pt>
              </c:strCache>
            </c:strRef>
          </c:tx>
          <c:cat>
            <c:strRef>
              <c:f>サマリ!$M$9:$M$20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サマリ!$N$9:$N$20</c:f>
              <c:numCache>
                <c:formatCode>General</c:formatCode>
                <c:ptCount val="12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  <c:pt idx="3">
                  <c:v>2.35</c:v>
                </c:pt>
                <c:pt idx="4">
                  <c:v>2.37</c:v>
                </c:pt>
                <c:pt idx="5">
                  <c:v>2.39</c:v>
                </c:pt>
                <c:pt idx="6">
                  <c:v>2.41</c:v>
                </c:pt>
                <c:pt idx="7">
                  <c:v>2.4300000000000002</c:v>
                </c:pt>
                <c:pt idx="8">
                  <c:v>2.4500000000000002</c:v>
                </c:pt>
                <c:pt idx="9">
                  <c:v>2.4700000000000002</c:v>
                </c:pt>
                <c:pt idx="10">
                  <c:v>2.4900000000000002</c:v>
                </c:pt>
                <c:pt idx="11">
                  <c:v>2.5099999999999998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66-49B3-943E-C8B2A274A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758544"/>
        <c:axId val="477756904"/>
      </c:lineChart>
      <c:catAx>
        <c:axId val="477758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7756904"/>
        <c:crosses val="autoZero"/>
        <c:auto val="1"/>
        <c:lblAlgn val="ctr"/>
        <c:lblOffset val="100"/>
        <c:noMultiLvlLbl val="0"/>
      </c:catAx>
      <c:valAx>
        <c:axId val="477756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77585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TEST01 Extract10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サマリ!$T$8</c:f>
              <c:strCache>
                <c:ptCount val="1"/>
                <c:pt idx="0">
                  <c:v>TEST01</c:v>
                </c:pt>
              </c:strCache>
            </c:strRef>
          </c:tx>
          <c:cat>
            <c:strRef>
              <c:f>サマリ!$S$9:$S$20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サマリ!$T$9:$T$20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C1-4CA8-95AB-0DD9BE3D9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755592"/>
        <c:axId val="477759528"/>
      </c:lineChart>
      <c:catAx>
        <c:axId val="477755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7759528"/>
        <c:crosses val="autoZero"/>
        <c:auto val="1"/>
        <c:lblAlgn val="ctr"/>
        <c:lblOffset val="100"/>
        <c:noMultiLvlLbl val="0"/>
      </c:catAx>
      <c:valAx>
        <c:axId val="477759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77555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Qs01 Extract1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サマリ!$Z$8</c:f>
              <c:strCache>
                <c:ptCount val="1"/>
                <c:pt idx="0">
                  <c:v>Qs01</c:v>
                </c:pt>
              </c:strCache>
            </c:strRef>
          </c:tx>
          <c:cat>
            <c:strRef>
              <c:f>サマリ!$Y$9:$Y$20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サマリ!$Z$9:$Z$20</c:f>
              <c:numCache>
                <c:formatCode>General</c:formatCode>
                <c:ptCount val="12"/>
                <c:pt idx="0">
                  <c:v>0.38</c:v>
                </c:pt>
                <c:pt idx="1">
                  <c:v>0.38</c:v>
                </c:pt>
                <c:pt idx="2">
                  <c:v>0.38</c:v>
                </c:pt>
                <c:pt idx="3">
                  <c:v>0.38</c:v>
                </c:pt>
                <c:pt idx="4">
                  <c:v>0.38</c:v>
                </c:pt>
                <c:pt idx="5">
                  <c:v>0.38</c:v>
                </c:pt>
                <c:pt idx="6">
                  <c:v>0.38</c:v>
                </c:pt>
                <c:pt idx="7">
                  <c:v>0.38</c:v>
                </c:pt>
                <c:pt idx="8">
                  <c:v>0.38</c:v>
                </c:pt>
                <c:pt idx="9">
                  <c:v>0.38</c:v>
                </c:pt>
                <c:pt idx="10">
                  <c:v>0.38</c:v>
                </c:pt>
                <c:pt idx="11">
                  <c:v>0.38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91-403A-A6F2-CBFB685CE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749688"/>
        <c:axId val="477750672"/>
      </c:lineChart>
      <c:catAx>
        <c:axId val="477749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7750672"/>
        <c:crosses val="autoZero"/>
        <c:auto val="1"/>
        <c:lblAlgn val="ctr"/>
        <c:lblOffset val="100"/>
        <c:noMultiLvlLbl val="0"/>
      </c:catAx>
      <c:valAx>
        <c:axId val="477750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77496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DF-4FFF-BE7C-8266FBD57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BCK_サマリ!$C$1</c:f>
          <c:strCache>
            <c:ptCount val="1"/>
            <c:pt idx="0">
              <c:v>tokuA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BCK_サマリ!$C$1</c:f>
              <c:strCache>
                <c:ptCount val="1"/>
                <c:pt idx="0">
                  <c:v>tokuA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BCK_サマリ!$C$2:$C$13</c:f>
              <c:numCache>
                <c:formatCode>0.00E+00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38-40F9-A7AC-61E7BCDDA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BCK_サマリ!$D$1</c:f>
          <c:strCache>
            <c:ptCount val="1"/>
            <c:pt idx="0">
              <c:v>SRpot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BCK_サマリ!$D$1</c:f>
              <c:strCache>
                <c:ptCount val="1"/>
                <c:pt idx="0">
                  <c:v>SRpot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BCK_サマリ!$D$2:$D$13</c:f>
              <c:numCache>
                <c:formatCode>0.00E+00</c:formatCode>
                <c:ptCount val="12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  <c:pt idx="3">
                  <c:v>2.35</c:v>
                </c:pt>
                <c:pt idx="4">
                  <c:v>2.37</c:v>
                </c:pt>
                <c:pt idx="5">
                  <c:v>2.39</c:v>
                </c:pt>
                <c:pt idx="6">
                  <c:v>2.41</c:v>
                </c:pt>
                <c:pt idx="7">
                  <c:v>2.4300000000000002</c:v>
                </c:pt>
                <c:pt idx="8">
                  <c:v>2.4500000000000002</c:v>
                </c:pt>
                <c:pt idx="9">
                  <c:v>2.4700000000000002</c:v>
                </c:pt>
                <c:pt idx="10">
                  <c:v>2.4900000000000002</c:v>
                </c:pt>
                <c:pt idx="11">
                  <c:v>2.5099999999999998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97-41A5-9142-76446AFC1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BCK_サマリ!$E$1</c:f>
          <c:strCache>
            <c:ptCount val="1"/>
            <c:pt idx="0">
              <c:v>Qs02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BCK_サマリ!$E$1</c:f>
              <c:strCache>
                <c:ptCount val="1"/>
                <c:pt idx="0">
                  <c:v>Qs02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BCK_サマリ!$E$2:$E$13</c:f>
              <c:numCache>
                <c:formatCode>0.00E+00</c:formatCode>
                <c:ptCount val="12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  <c:pt idx="3">
                  <c:v>0.397666666666667</c:v>
                </c:pt>
                <c:pt idx="4">
                  <c:v>0.396666666666667</c:v>
                </c:pt>
                <c:pt idx="5">
                  <c:v>0.395666666666667</c:v>
                </c:pt>
                <c:pt idx="6">
                  <c:v>0.394666666666667</c:v>
                </c:pt>
                <c:pt idx="7">
                  <c:v>0.393666666666667</c:v>
                </c:pt>
                <c:pt idx="8">
                  <c:v>0.392666666666667</c:v>
                </c:pt>
                <c:pt idx="9">
                  <c:v>0.391666666666667</c:v>
                </c:pt>
                <c:pt idx="10">
                  <c:v>0.390666666666667</c:v>
                </c:pt>
                <c:pt idx="11">
                  <c:v>0.38966666666666699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90-4E86-B3DE-D8B183EFB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散布図!$B$6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FB-4D1C-A3FD-B99F15461559}"/>
            </c:ext>
          </c:extLst>
        </c:ser>
        <c:ser>
          <c:idx val="1"/>
          <c:order val="1"/>
          <c:tx>
            <c:strRef>
              <c:f>散布図!$C$6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FB-4D1C-A3FD-B99F15461559}"/>
            </c:ext>
          </c:extLst>
        </c:ser>
        <c:ser>
          <c:idx val="2"/>
          <c:order val="2"/>
          <c:tx>
            <c:strRef>
              <c:f>散布図!$D$6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FB-4D1C-A3FD-B99F15461559}"/>
            </c:ext>
          </c:extLst>
        </c:ser>
        <c:ser>
          <c:idx val="3"/>
          <c:order val="3"/>
          <c:tx>
            <c:strRef>
              <c:f>散布図!$E$6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散布図!$E$7:$E$9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7FB-4D1C-A3FD-B99F15461559}"/>
            </c:ext>
          </c:extLst>
        </c:ser>
        <c:ser>
          <c:idx val="4"/>
          <c:order val="4"/>
          <c:tx>
            <c:strRef>
              <c:f>散布図!$F$6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散布図!$F$7:$F$9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7FB-4D1C-A3FD-B99F15461559}"/>
            </c:ext>
          </c:extLst>
        </c:ser>
        <c:ser>
          <c:idx val="5"/>
          <c:order val="5"/>
          <c:tx>
            <c:strRef>
              <c:f>散布図!$G$6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散布図!$G$7:$G$9</c:f>
              <c:numCache>
                <c:formatCode>General</c:formatCode>
                <c:ptCount val="3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7FB-4D1C-A3FD-B99F15461559}"/>
            </c:ext>
          </c:extLst>
        </c:ser>
        <c:ser>
          <c:idx val="6"/>
          <c:order val="6"/>
          <c:tx>
            <c:strRef>
              <c:f>散布図!$H$6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散布図!$H$7:$H$9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7FB-4D1C-A3FD-B99F15461559}"/>
            </c:ext>
          </c:extLst>
        </c:ser>
        <c:ser>
          <c:idx val="7"/>
          <c:order val="7"/>
          <c:tx>
            <c:strRef>
              <c:f>散布図!$I$6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散布図!$I$7:$I$9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7FB-4D1C-A3FD-B99F15461559}"/>
            </c:ext>
          </c:extLst>
        </c:ser>
        <c:ser>
          <c:idx val="8"/>
          <c:order val="8"/>
          <c:tx>
            <c:strRef>
              <c:f>散布図!$J$6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散布図!$J$7:$J$9</c:f>
              <c:numCache>
                <c:formatCode>General</c:formatCode>
                <c:ptCount val="3"/>
                <c:pt idx="0">
                  <c:v>0.66900000000000004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7FB-4D1C-A3FD-B99F15461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:01_TGon_Extract4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散布図!$B$14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散布図!$B$15:$B$17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7-48B4-BCC6-93D9B8341F97}"/>
            </c:ext>
          </c:extLst>
        </c:ser>
        <c:ser>
          <c:idx val="1"/>
          <c:order val="1"/>
          <c:tx>
            <c:strRef>
              <c:f>散布図!$C$14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散布図!$C$15:$C$17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7-48B4-BCC6-93D9B8341F97}"/>
            </c:ext>
          </c:extLst>
        </c:ser>
        <c:ser>
          <c:idx val="2"/>
          <c:order val="2"/>
          <c:tx>
            <c:strRef>
              <c:f>散布図!$D$14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散布図!$D$15:$D$17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7-48B4-BCC6-93D9B8341F97}"/>
            </c:ext>
          </c:extLst>
        </c:ser>
        <c:ser>
          <c:idx val="3"/>
          <c:order val="3"/>
          <c:tx>
            <c:strRef>
              <c:f>散布図!$E$14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散布図!$E$15:$E$17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77-48B4-BCC6-93D9B8341F97}"/>
            </c:ext>
          </c:extLst>
        </c:ser>
        <c:ser>
          <c:idx val="4"/>
          <c:order val="4"/>
          <c:tx>
            <c:strRef>
              <c:f>散布図!$F$14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散布図!$F$15:$F$17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1.93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A77-48B4-BCC6-93D9B8341F97}"/>
            </c:ext>
          </c:extLst>
        </c:ser>
        <c:ser>
          <c:idx val="5"/>
          <c:order val="5"/>
          <c:tx>
            <c:strRef>
              <c:f>散布図!$G$14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散布図!$G$15:$G$17</c:f>
              <c:numCache>
                <c:formatCode>General</c:formatCode>
                <c:ptCount val="3"/>
                <c:pt idx="0">
                  <c:v>1.63</c:v>
                </c:pt>
                <c:pt idx="1">
                  <c:v>1.53</c:v>
                </c:pt>
                <c:pt idx="2">
                  <c:v>1.43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A77-48B4-BCC6-93D9B8341F97}"/>
            </c:ext>
          </c:extLst>
        </c:ser>
        <c:ser>
          <c:idx val="6"/>
          <c:order val="6"/>
          <c:tx>
            <c:strRef>
              <c:f>散布図!$H$14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散布図!$H$15:$H$17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A77-48B4-BCC6-93D9B8341F97}"/>
            </c:ext>
          </c:extLst>
        </c:ser>
        <c:ser>
          <c:idx val="7"/>
          <c:order val="7"/>
          <c:tx>
            <c:strRef>
              <c:f>散布図!$I$14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散布図!$I$15:$I$17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A77-48B4-BCC6-93D9B8341F97}"/>
            </c:ext>
          </c:extLst>
        </c:ser>
        <c:ser>
          <c:idx val="8"/>
          <c:order val="8"/>
          <c:tx>
            <c:strRef>
              <c:f>散布図!$J$14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散布図!$J$15:$J$17</c:f>
              <c:numCache>
                <c:formatCode>General</c:formatCode>
                <c:ptCount val="3"/>
                <c:pt idx="0">
                  <c:v>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A77-48B4-BCC6-93D9B8341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:01_TGoff_Extract7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散布図!$B$22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散布図!$B$23:$B$25</c:f>
              <c:numCache>
                <c:formatCode>General</c:formatCode>
                <c:ptCount val="3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5A-4234-8794-FE74EF270C29}"/>
            </c:ext>
          </c:extLst>
        </c:ser>
        <c:ser>
          <c:idx val="1"/>
          <c:order val="1"/>
          <c:tx>
            <c:strRef>
              <c:f>散布図!$C$22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散布図!$C$23:$C$25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5A-4234-8794-FE74EF270C29}"/>
            </c:ext>
          </c:extLst>
        </c:ser>
        <c:ser>
          <c:idx val="2"/>
          <c:order val="2"/>
          <c:tx>
            <c:strRef>
              <c:f>散布図!$D$22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散布図!$D$23:$D$25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95A-4234-8794-FE74EF270C29}"/>
            </c:ext>
          </c:extLst>
        </c:ser>
        <c:ser>
          <c:idx val="3"/>
          <c:order val="3"/>
          <c:tx>
            <c:strRef>
              <c:f>散布図!$E$22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散布図!$E$23:$E$25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5A-4234-8794-FE74EF270C29}"/>
            </c:ext>
          </c:extLst>
        </c:ser>
        <c:ser>
          <c:idx val="4"/>
          <c:order val="4"/>
          <c:tx>
            <c:strRef>
              <c:f>散布図!$F$22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散布図!$F$23:$F$25</c:f>
              <c:numCache>
                <c:formatCode>General</c:formatCode>
                <c:ptCount val="3"/>
                <c:pt idx="0">
                  <c:v>2.35</c:v>
                </c:pt>
                <c:pt idx="1">
                  <c:v>2.37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95A-4234-8794-FE74EF270C29}"/>
            </c:ext>
          </c:extLst>
        </c:ser>
        <c:ser>
          <c:idx val="5"/>
          <c:order val="5"/>
          <c:tx>
            <c:strRef>
              <c:f>散布図!$G$22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散布図!$G$23:$G$25</c:f>
              <c:numCache>
                <c:formatCode>General</c:formatCode>
                <c:ptCount val="3"/>
                <c:pt idx="0">
                  <c:v>2.4300000000000002</c:v>
                </c:pt>
                <c:pt idx="1">
                  <c:v>2.4500000000000002</c:v>
                </c:pt>
                <c:pt idx="2">
                  <c:v>2.4700000000000002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95A-4234-8794-FE74EF270C29}"/>
            </c:ext>
          </c:extLst>
        </c:ser>
        <c:ser>
          <c:idx val="6"/>
          <c:order val="6"/>
          <c:tx>
            <c:strRef>
              <c:f>散布図!$H$22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散布図!$H$23:$H$25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95A-4234-8794-FE74EF270C29}"/>
            </c:ext>
          </c:extLst>
        </c:ser>
        <c:ser>
          <c:idx val="7"/>
          <c:order val="7"/>
          <c:tx>
            <c:strRef>
              <c:f>散布図!$I$22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散布図!$I$23:$I$25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95A-4234-8794-FE74EF270C29}"/>
            </c:ext>
          </c:extLst>
        </c:ser>
        <c:ser>
          <c:idx val="8"/>
          <c:order val="8"/>
          <c:tx>
            <c:strRef>
              <c:f>散布図!$J$22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散布図!$J$23:$J$25</c:f>
              <c:numCache>
                <c:formatCode>General</c:formatCode>
                <c:ptCount val="3"/>
                <c:pt idx="0">
                  <c:v>2.4900000000000002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95A-4234-8794-FE74EF270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:03_Qs_Extract2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散布図!$B$30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散布図!$B$31:$B$33</c:f>
              <c:numCache>
                <c:formatCode>General</c:formatCode>
                <c:ptCount val="3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9-403D-8E4B-DB6B724068CC}"/>
            </c:ext>
          </c:extLst>
        </c:ser>
        <c:ser>
          <c:idx val="1"/>
          <c:order val="1"/>
          <c:tx>
            <c:strRef>
              <c:f>散布図!$C$30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散布図!$C$31:$C$33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69-403D-8E4B-DB6B724068CC}"/>
            </c:ext>
          </c:extLst>
        </c:ser>
        <c:ser>
          <c:idx val="2"/>
          <c:order val="2"/>
          <c:tx>
            <c:strRef>
              <c:f>散布図!$D$30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散布図!$D$31:$D$33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69-403D-8E4B-DB6B724068CC}"/>
            </c:ext>
          </c:extLst>
        </c:ser>
        <c:ser>
          <c:idx val="3"/>
          <c:order val="3"/>
          <c:tx>
            <c:strRef>
              <c:f>散布図!$E$30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散布図!$E$31:$E$33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969-403D-8E4B-DB6B724068CC}"/>
            </c:ext>
          </c:extLst>
        </c:ser>
        <c:ser>
          <c:idx val="4"/>
          <c:order val="4"/>
          <c:tx>
            <c:strRef>
              <c:f>散布図!$F$30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散布図!$F$31:$F$33</c:f>
              <c:numCache>
                <c:formatCode>General</c:formatCode>
                <c:ptCount val="3"/>
                <c:pt idx="0">
                  <c:v>0.397666666666667</c:v>
                </c:pt>
                <c:pt idx="1">
                  <c:v>0.396666666666667</c:v>
                </c:pt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969-403D-8E4B-DB6B724068CC}"/>
            </c:ext>
          </c:extLst>
        </c:ser>
        <c:ser>
          <c:idx val="5"/>
          <c:order val="5"/>
          <c:tx>
            <c:strRef>
              <c:f>散布図!$G$30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散布図!$G$31:$G$33</c:f>
              <c:numCache>
                <c:formatCode>General</c:formatCode>
                <c:ptCount val="3"/>
                <c:pt idx="0">
                  <c:v>0.393666666666667</c:v>
                </c:pt>
                <c:pt idx="1">
                  <c:v>0.392666666666667</c:v>
                </c:pt>
                <c:pt idx="2">
                  <c:v>0.391666666666667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969-403D-8E4B-DB6B724068CC}"/>
            </c:ext>
          </c:extLst>
        </c:ser>
        <c:ser>
          <c:idx val="6"/>
          <c:order val="6"/>
          <c:tx>
            <c:strRef>
              <c:f>散布図!$H$30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散布図!$H$31:$H$33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969-403D-8E4B-DB6B724068CC}"/>
            </c:ext>
          </c:extLst>
        </c:ser>
        <c:ser>
          <c:idx val="7"/>
          <c:order val="7"/>
          <c:tx>
            <c:strRef>
              <c:f>散布図!$I$30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散布図!$I$31:$I$33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969-403D-8E4B-DB6B724068CC}"/>
            </c:ext>
          </c:extLst>
        </c:ser>
        <c:ser>
          <c:idx val="8"/>
          <c:order val="8"/>
          <c:tx>
            <c:strRef>
              <c:f>散布図!$J$30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散布図!$J$31:$J$33</c:f>
              <c:numCache>
                <c:formatCode>General</c:formatCode>
                <c:ptCount val="3"/>
                <c:pt idx="0">
                  <c:v>0.390666666666667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969-403D-8E4B-DB6B7240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BCK_散布図!$B$6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A9-4B09-B705-A344DEF3FAE1}"/>
            </c:ext>
          </c:extLst>
        </c:ser>
        <c:ser>
          <c:idx val="1"/>
          <c:order val="1"/>
          <c:tx>
            <c:strRef>
              <c:f>BCK_散布図!$C$6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A9-4B09-B705-A344DEF3FAE1}"/>
            </c:ext>
          </c:extLst>
        </c:ser>
        <c:ser>
          <c:idx val="2"/>
          <c:order val="2"/>
          <c:tx>
            <c:strRef>
              <c:f>BCK_散布図!$D$6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A9-4B09-B705-A344DEF3FAE1}"/>
            </c:ext>
          </c:extLst>
        </c:ser>
        <c:ser>
          <c:idx val="3"/>
          <c:order val="3"/>
          <c:tx>
            <c:strRef>
              <c:f>BCK_散布図!$E$6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BCK_散布図!$E$7:$E$9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A9-4B09-B705-A344DEF3F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BCK_散布図!$B$14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BCK_散布図!$B$15:$B$17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C2-469F-86BE-FAE6F3C3F552}"/>
            </c:ext>
          </c:extLst>
        </c:ser>
        <c:ser>
          <c:idx val="1"/>
          <c:order val="1"/>
          <c:tx>
            <c:strRef>
              <c:f>BCK_散布図!$C$14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BCK_散布図!$C$15:$C$17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C2-469F-86BE-FAE6F3C3F552}"/>
            </c:ext>
          </c:extLst>
        </c:ser>
        <c:ser>
          <c:idx val="2"/>
          <c:order val="2"/>
          <c:tx>
            <c:strRef>
              <c:f>BCK_散布図!$D$14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BCK_散布図!$D$15:$D$17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C2-469F-86BE-FAE6F3C3F552}"/>
            </c:ext>
          </c:extLst>
        </c:ser>
        <c:ser>
          <c:idx val="3"/>
          <c:order val="3"/>
          <c:tx>
            <c:strRef>
              <c:f>BCK_散布図!$E$14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BCK_散布図!$E$15:$E$17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1.93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C2-469F-86BE-FAE6F3C3F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BCK_散布図!$B$22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BCK_散布図!$B$23:$B$25</c:f>
              <c:numCache>
                <c:formatCode>General</c:formatCode>
                <c:ptCount val="3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95-499A-B332-6669FCAF5656}"/>
            </c:ext>
          </c:extLst>
        </c:ser>
        <c:ser>
          <c:idx val="1"/>
          <c:order val="1"/>
          <c:tx>
            <c:strRef>
              <c:f>BCK_散布図!$C$22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BCK_散布図!$C$23:$C$25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95-499A-B332-6669FCAF5656}"/>
            </c:ext>
          </c:extLst>
        </c:ser>
        <c:ser>
          <c:idx val="2"/>
          <c:order val="2"/>
          <c:tx>
            <c:strRef>
              <c:f>BCK_散布図!$D$22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BCK_散布図!$D$23:$D$25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95-499A-B332-6669FCAF5656}"/>
            </c:ext>
          </c:extLst>
        </c:ser>
        <c:ser>
          <c:idx val="3"/>
          <c:order val="3"/>
          <c:tx>
            <c:strRef>
              <c:f>BCK_散布図!$E$22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BCK_散布図!$E$23:$E$25</c:f>
              <c:numCache>
                <c:formatCode>General</c:formatCode>
                <c:ptCount val="3"/>
                <c:pt idx="0">
                  <c:v>2.35</c:v>
                </c:pt>
                <c:pt idx="1">
                  <c:v>2.37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95-499A-B332-6669FCAF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BCK_散布図!$B$30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BCK_散布図!$B$31:$B$33</c:f>
              <c:numCache>
                <c:formatCode>General</c:formatCode>
                <c:ptCount val="3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61-4C2A-A880-DFCAF69ED4F7}"/>
            </c:ext>
          </c:extLst>
        </c:ser>
        <c:ser>
          <c:idx val="1"/>
          <c:order val="1"/>
          <c:tx>
            <c:strRef>
              <c:f>BCK_散布図!$C$30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BCK_散布図!$C$31:$C$33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61-4C2A-A880-DFCAF69ED4F7}"/>
            </c:ext>
          </c:extLst>
        </c:ser>
        <c:ser>
          <c:idx val="2"/>
          <c:order val="2"/>
          <c:tx>
            <c:strRef>
              <c:f>BCK_散布図!$D$30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BCK_散布図!$D$31:$D$33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61-4C2A-A880-DFCAF69ED4F7}"/>
            </c:ext>
          </c:extLst>
        </c:ser>
        <c:ser>
          <c:idx val="3"/>
          <c:order val="3"/>
          <c:tx>
            <c:strRef>
              <c:f>BCK_散布図!$E$30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BCK_散布図!$E$31:$E$33</c:f>
              <c:numCache>
                <c:formatCode>General</c:formatCode>
                <c:ptCount val="3"/>
                <c:pt idx="0">
                  <c:v>0.397666666666667</c:v>
                </c:pt>
                <c:pt idx="1">
                  <c:v>0.396666666666667</c:v>
                </c:pt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61-4C2A-A880-DFCAF69ED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軸＝</a:t>
            </a:r>
            <a:r>
              <a:rPr lang="en-US" altLang="ja-JP"/>
              <a:t>SRpot</a:t>
            </a:r>
            <a:r>
              <a:rPr lang="ja-JP" altLang="en-US"/>
              <a:t>のグラフ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例_散布図!$L$2</c:f>
              <c:strCache>
                <c:ptCount val="1"/>
                <c:pt idx="0">
                  <c:v>CWL01=1_OFD=3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例_散布図!$L$3:$L$8</c:f>
              <c:numCache>
                <c:formatCode>General</c:formatCode>
                <c:ptCount val="6"/>
                <c:pt idx="1">
                  <c:v>1.38</c:v>
                </c:pt>
                <c:pt idx="2">
                  <c:v>1.41</c:v>
                </c:pt>
                <c:pt idx="3">
                  <c:v>1.36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6-4451-A56C-95C14C44CC38}"/>
            </c:ext>
          </c:extLst>
        </c:ser>
        <c:ser>
          <c:idx val="1"/>
          <c:order val="1"/>
          <c:tx>
            <c:strRef>
              <c:f>例_散布図!$M$2</c:f>
              <c:strCache>
                <c:ptCount val="1"/>
                <c:pt idx="0">
                  <c:v>CWL01=1.5_OFD=3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例_散布図!$M$3:$M$8</c:f>
              <c:numCache>
                <c:formatCode>General</c:formatCode>
                <c:ptCount val="6"/>
                <c:pt idx="0">
                  <c:v>1</c:v>
                </c:pt>
                <c:pt idx="1">
                  <c:v>2.35</c:v>
                </c:pt>
                <c:pt idx="2">
                  <c:v>2.38</c:v>
                </c:pt>
                <c:pt idx="3">
                  <c:v>2.41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76-4451-A56C-95C14C44CC38}"/>
            </c:ext>
          </c:extLst>
        </c:ser>
        <c:ser>
          <c:idx val="2"/>
          <c:order val="2"/>
          <c:tx>
            <c:strRef>
              <c:f>例_散布図!$N$2</c:f>
              <c:strCache>
                <c:ptCount val="1"/>
                <c:pt idx="0">
                  <c:v>CWL01=2_OFD=3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例_散布図!$N$3:$N$8</c:f>
              <c:numCache>
                <c:formatCode>General</c:formatCode>
                <c:ptCount val="6"/>
                <c:pt idx="1">
                  <c:v>3.31</c:v>
                </c:pt>
                <c:pt idx="2">
                  <c:v>3.34</c:v>
                </c:pt>
                <c:pt idx="3">
                  <c:v>3.37</c:v>
                </c:pt>
                <c:pt idx="4">
                  <c:v>6</c:v>
                </c:pt>
                <c:pt idx="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76-4451-A56C-95C14C44C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915568"/>
        <c:axId val="535917864"/>
      </c:scatterChart>
      <c:valAx>
        <c:axId val="53591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7864"/>
        <c:crosses val="autoZero"/>
        <c:crossBetween val="midCat"/>
      </c:valAx>
      <c:valAx>
        <c:axId val="53591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work_template!$A$2:$A$13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work_template!$B$2:$B$13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F1-4B6F-9560-C9B00CFC7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work_template!$M$5</c:f>
              <c:strCache>
                <c:ptCount val="1"/>
                <c:pt idx="0">
                  <c:v>CWL1 =1.10E+12,matA =2.00E+11,OFD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work_template!$M$6:$M$9</c:f>
              <c:numCache>
                <c:formatCode>General</c:formatCode>
                <c:ptCount val="4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BB-4C21-9937-85232F44DA45}"/>
            </c:ext>
          </c:extLst>
        </c:ser>
        <c:ser>
          <c:idx val="1"/>
          <c:order val="1"/>
          <c:tx>
            <c:strRef>
              <c:f>work_template!$N$5</c:f>
              <c:strCache>
                <c:ptCount val="1"/>
                <c:pt idx="0">
                  <c:v>CWL1 =1.20E+12,matA =2.00E+11,OFD =3.30E+11,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work_template!$N$6:$N$9</c:f>
              <c:numCache>
                <c:formatCode>General</c:formatCode>
                <c:ptCount val="4"/>
                <c:pt idx="0">
                  <c:v>0.65500000000000003</c:v>
                </c:pt>
                <c:pt idx="1">
                  <c:v>0.65700000000000003</c:v>
                </c:pt>
                <c:pt idx="2">
                  <c:v>0.65900000000000003</c:v>
                </c:pt>
                <c:pt idx="3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BB-4C21-9937-85232F44DA45}"/>
            </c:ext>
          </c:extLst>
        </c:ser>
        <c:ser>
          <c:idx val="2"/>
          <c:order val="2"/>
          <c:tx>
            <c:strRef>
              <c:f>work_template!$O$5</c:f>
              <c:strCache>
                <c:ptCount val="1"/>
                <c:pt idx="0">
                  <c:v>CWL1 =1.30E+12,matA =3.00E+11,OFD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work_template!$O$6:$O$9</c:f>
              <c:numCache>
                <c:formatCode>General</c:formatCode>
                <c:ptCount val="4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BB-4C21-9937-85232F44DA45}"/>
            </c:ext>
          </c:extLst>
        </c:ser>
        <c:ser>
          <c:idx val="3"/>
          <c:order val="3"/>
          <c:tx>
            <c:strRef>
              <c:f>work_template!$P$5</c:f>
              <c:strCache>
                <c:ptCount val="1"/>
                <c:pt idx="0">
                  <c:v>CWL1 =1.30E+12,matA =3.00E+11,OFD =3.60E+11,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work_template!$P$6:$P$9</c:f>
              <c:numCache>
                <c:formatCode>General</c:formatCode>
                <c:ptCount val="4"/>
                <c:pt idx="0">
                  <c:v>0.66900000000000004</c:v>
                </c:pt>
                <c:pt idx="1">
                  <c:v>0.67100000000000004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BB-4C21-9937-85232F44D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1685892388451444"/>
          <c:y val="0.30291666666666667"/>
          <c:w val="0.83869663167104114"/>
          <c:h val="0.58563247302420529"/>
        </c:manualLayout>
      </c:layout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196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0.67500000000000004</c:v>
                </c:pt>
                <c:pt idx="1">
                  <c:v>0.67500000000000004</c:v>
                </c:pt>
                <c:pt idx="2">
                  <c:v>0.67500000000000004</c:v>
                </c:pt>
                <c:pt idx="3">
                  <c:v>0.67500000000000004</c:v>
                </c:pt>
                <c:pt idx="7">
                  <c:v>0.67500000000000004</c:v>
                </c:pt>
                <c:pt idx="8">
                  <c:v>0.67500000000000004</c:v>
                </c:pt>
                <c:pt idx="9">
                  <c:v>0.67500000000000004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8628592"/>
        <c:axId val="5786240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例_グラフ背景塗りつぶし!$M$4:$M$13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628592"/>
        <c:axId val="578624000"/>
      </c:lineChart>
      <c:catAx>
        <c:axId val="57862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4000"/>
        <c:crosses val="autoZero"/>
        <c:auto val="1"/>
        <c:lblAlgn val="ctr"/>
        <c:lblOffset val="100"/>
        <c:noMultiLvlLbl val="0"/>
      </c:catAx>
      <c:valAx>
        <c:axId val="578624000"/>
        <c:scaling>
          <c:orientation val="minMax"/>
          <c:max val="0.67500000000000016"/>
          <c:min val="0.645000000000000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例_グラフ背景塗りつぶし!$V$4:$V$13</c:f>
              <c:numCache>
                <c:formatCode>0.00E+00</c:formatCode>
                <c:ptCount val="10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40-44CC-8F0D-292DCF829647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例_グラフ背景塗りつぶし!$W$4:$W$13</c:f>
              <c:numCache>
                <c:formatCode>0.00E+00</c:formatCode>
                <c:ptCount val="10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40-44CC-8F0D-292DCF829647}"/>
            </c:ext>
          </c:extLst>
        </c:ser>
        <c:ser>
          <c:idx val="3"/>
          <c:order val="3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例_グラフ背景塗りつぶし!$X$4:$X$13</c:f>
              <c:numCache>
                <c:formatCode>0.00E+00</c:formatCode>
                <c:ptCount val="1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9370944"/>
        <c:axId val="5693716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例_グラフ背景塗りつぶし!$U$4:$U$13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370944"/>
        <c:axId val="569371600"/>
      </c:lineChart>
      <c:catAx>
        <c:axId val="56937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1600"/>
        <c:crosses val="autoZero"/>
        <c:auto val="1"/>
        <c:lblAlgn val="ctr"/>
        <c:lblOffset val="100"/>
        <c:noMultiLvlLbl val="0"/>
      </c:catAx>
      <c:valAx>
        <c:axId val="569371600"/>
        <c:scaling>
          <c:orientation val="minMax"/>
          <c:max val="0.675000000000000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例_グラフ背景塗りつぶし!$F$10</c:f>
              <c:strCache>
                <c:ptCount val="1"/>
                <c:pt idx="0">
                  <c:v>toku1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例_グラフ背景塗りつぶし!$E$11:$E$18</c:f>
              <c:strCache>
                <c:ptCount val="8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</c:strCache>
            </c:strRef>
          </c:cat>
          <c:val>
            <c:numRef>
              <c:f>例_グラフ背景塗りつぶし!$F$11:$F$18</c:f>
              <c:numCache>
                <c:formatCode>General</c:formatCode>
                <c:ptCount val="8"/>
                <c:pt idx="0">
                  <c:v>20</c:v>
                </c:pt>
                <c:pt idx="1">
                  <c:v>25</c:v>
                </c:pt>
                <c:pt idx="2">
                  <c:v>40</c:v>
                </c:pt>
                <c:pt idx="3">
                  <c:v>900</c:v>
                </c:pt>
                <c:pt idx="4">
                  <c:v>160</c:v>
                </c:pt>
                <c:pt idx="5">
                  <c:v>300</c:v>
                </c:pt>
                <c:pt idx="6">
                  <c:v>1000</c:v>
                </c:pt>
                <c:pt idx="7">
                  <c:v>15000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92-4122-8B93-767B1263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665024"/>
        <c:axId val="552665352"/>
      </c:lineChart>
      <c:catAx>
        <c:axId val="55266502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352"/>
        <c:crosses val="autoZero"/>
        <c:auto val="1"/>
        <c:lblAlgn val="ctr"/>
        <c:lblOffset val="100"/>
        <c:noMultiLvlLbl val="0"/>
      </c:catAx>
      <c:valAx>
        <c:axId val="5526653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テスト</a:t>
            </a:r>
            <a:b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</a:br>
            <a: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0.67500000000000004</c:v>
                </c:pt>
                <c:pt idx="1">
                  <c:v>0.67500000000000004</c:v>
                </c:pt>
                <c:pt idx="2">
                  <c:v>0.67500000000000004</c:v>
                </c:pt>
                <c:pt idx="3">
                  <c:v>0.67500000000000004</c:v>
                </c:pt>
                <c:pt idx="7">
                  <c:v>0.67500000000000004</c:v>
                </c:pt>
                <c:pt idx="8">
                  <c:v>0.67500000000000004</c:v>
                </c:pt>
                <c:pt idx="9">
                  <c:v>0.67500000000000004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54-48F4-B7AB-5B0D3CE40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553473096"/>
        <c:axId val="553473752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例_グラフ背景塗りつぶし!$M$4:$M$13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54-48F4-B7AB-5B0D3CE40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473096"/>
        <c:axId val="553473752"/>
      </c:lineChart>
      <c:catAx>
        <c:axId val="553473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3473752"/>
        <c:crosses val="autoZero"/>
        <c:auto val="1"/>
        <c:lblAlgn val="ctr"/>
        <c:lblOffset val="100"/>
        <c:noMultiLvlLbl val="0"/>
      </c:catAx>
      <c:valAx>
        <c:axId val="553473752"/>
        <c:scaling>
          <c:orientation val="minMax"/>
          <c:max val="0.67500000000000004"/>
          <c:min val="0.6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3473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F-4318-B5F6-E6DB935AE926}"/>
            </c:ext>
          </c:extLst>
        </c:ser>
        <c:ser>
          <c:idx val="2"/>
          <c:order val="2"/>
          <c:spPr>
            <a:solidFill>
              <a:schemeClr val="accent5">
                <a:lumMod val="60000"/>
                <a:lumOff val="40000"/>
                <a:alpha val="18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1F-4318-B5F6-E6DB935AE926}"/>
            </c:ext>
          </c:extLst>
        </c:ser>
        <c:ser>
          <c:idx val="3"/>
          <c:order val="3"/>
          <c:spPr>
            <a:solidFill>
              <a:schemeClr val="accent2">
                <a:alpha val="17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29632"/>
        <c:axId val="80232532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329632"/>
        <c:axId val="802325320"/>
      </c:lineChart>
      <c:catAx>
        <c:axId val="80232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5320"/>
        <c:crosses val="autoZero"/>
        <c:auto val="1"/>
        <c:lblAlgn val="ctr"/>
        <c:lblOffset val="100"/>
        <c:noMultiLvlLbl val="0"/>
      </c:catAx>
      <c:valAx>
        <c:axId val="802325320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25-4D6A-BDCC-1C69662E1AD2}"/>
            </c:ext>
          </c:extLst>
        </c:ser>
        <c:ser>
          <c:idx val="2"/>
          <c:order val="2"/>
          <c:spPr>
            <a:solidFill>
              <a:schemeClr val="accent1">
                <a:alpha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25-4D6A-BDCC-1C69662E1AD2}"/>
            </c:ext>
          </c:extLst>
        </c:ser>
        <c:ser>
          <c:idx val="3"/>
          <c:order val="3"/>
          <c:spPr>
            <a:solidFill>
              <a:schemeClr val="accent2">
                <a:alpha val="29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32376"/>
        <c:axId val="802332768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5097432"/>
        <c:axId val="735103704"/>
      </c:barChart>
      <c:catAx>
        <c:axId val="802332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768"/>
        <c:crosses val="autoZero"/>
        <c:auto val="1"/>
        <c:lblAlgn val="ctr"/>
        <c:lblOffset val="100"/>
        <c:noMultiLvlLbl val="0"/>
      </c:catAx>
      <c:valAx>
        <c:axId val="80233276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376"/>
        <c:crosses val="autoZero"/>
        <c:crossBetween val="between"/>
      </c:valAx>
      <c:valAx>
        <c:axId val="735103704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5097432"/>
        <c:crosses val="max"/>
        <c:crossBetween val="between"/>
      </c:valAx>
      <c:catAx>
        <c:axId val="735097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5103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E1-44F6-A19A-B0245B9636D4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29312"/>
        <c:axId val="741630488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629312"/>
        <c:axId val="741630488"/>
      </c:lineChart>
      <c:catAx>
        <c:axId val="74162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0488"/>
        <c:crosses val="autoZero"/>
        <c:auto val="1"/>
        <c:lblAlgn val="ctr"/>
        <c:lblOffset val="100"/>
        <c:noMultiLvlLbl val="0"/>
      </c:catAx>
      <c:valAx>
        <c:axId val="74163048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2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A0-4EE4-883D-C240DB788473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39896"/>
        <c:axId val="741631272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8858944"/>
        <c:axId val="738857768"/>
      </c:barChart>
      <c:catAx>
        <c:axId val="741639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1272"/>
        <c:crosses val="autoZero"/>
        <c:auto val="1"/>
        <c:lblAlgn val="ctr"/>
        <c:lblOffset val="100"/>
        <c:noMultiLvlLbl val="0"/>
      </c:catAx>
      <c:valAx>
        <c:axId val="741631272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9896"/>
        <c:crosses val="autoZero"/>
        <c:crossBetween val="between"/>
      </c:valAx>
      <c:valAx>
        <c:axId val="738857768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8858944"/>
        <c:crosses val="max"/>
        <c:crossBetween val="between"/>
      </c:valAx>
      <c:catAx>
        <c:axId val="738858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857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2" fmlaLink="$B$14" fmlaRange="work_graph!A2:A7" noThreeD="1" sel="3" val="0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image" Target="../media/image1.emf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</xdr:row>
          <xdr:rowOff>209550</xdr:rowOff>
        </xdr:from>
        <xdr:to>
          <xdr:col>3</xdr:col>
          <xdr:colOff>104775</xdr:colOff>
          <xdr:row>4</xdr:row>
          <xdr:rowOff>47625</xdr:rowOff>
        </xdr:to>
        <xdr:sp macro="" textlink="">
          <xdr:nvSpPr>
            <xdr:cNvPr id="2049" name="Button_read_jyok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条件表　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5</xdr:row>
          <xdr:rowOff>200025</xdr:rowOff>
        </xdr:from>
        <xdr:to>
          <xdr:col>3</xdr:col>
          <xdr:colOff>114300</xdr:colOff>
          <xdr:row>7</xdr:row>
          <xdr:rowOff>38100</xdr:rowOff>
        </xdr:to>
        <xdr:sp macro="" textlink="">
          <xdr:nvSpPr>
            <xdr:cNvPr id="2050" name="Button_read_sette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設定ファイル読み込み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</xdr:row>
          <xdr:rowOff>171450</xdr:rowOff>
        </xdr:from>
        <xdr:to>
          <xdr:col>3</xdr:col>
          <xdr:colOff>123825</xdr:colOff>
          <xdr:row>9</xdr:row>
          <xdr:rowOff>9525</xdr:rowOff>
        </xdr:to>
        <xdr:sp macro="" textlink="">
          <xdr:nvSpPr>
            <xdr:cNvPr id="2051" name="Button_read_spee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Speed読み込み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66675</xdr:rowOff>
        </xdr:from>
        <xdr:to>
          <xdr:col>3</xdr:col>
          <xdr:colOff>219075</xdr:colOff>
          <xdr:row>9</xdr:row>
          <xdr:rowOff>371475</xdr:rowOff>
        </xdr:to>
        <xdr:sp macro="" textlink="">
          <xdr:nvSpPr>
            <xdr:cNvPr id="2052" name="checkBox_summa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サマリ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10</xdr:row>
          <xdr:rowOff>28575</xdr:rowOff>
        </xdr:from>
        <xdr:to>
          <xdr:col>2</xdr:col>
          <xdr:colOff>19050</xdr:colOff>
          <xdr:row>10</xdr:row>
          <xdr:rowOff>295275</xdr:rowOff>
        </xdr:to>
        <xdr:sp macro="" textlink="">
          <xdr:nvSpPr>
            <xdr:cNvPr id="2053" name="checkbox_scatt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散布図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12</xdr:row>
          <xdr:rowOff>47625</xdr:rowOff>
        </xdr:from>
        <xdr:to>
          <xdr:col>2</xdr:col>
          <xdr:colOff>314325</xdr:colOff>
          <xdr:row>13</xdr:row>
          <xdr:rowOff>76200</xdr:rowOff>
        </xdr:to>
        <xdr:sp macro="" textlink="">
          <xdr:nvSpPr>
            <xdr:cNvPr id="2056" name="ComboScatterX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</xdr:row>
          <xdr:rowOff>0</xdr:rowOff>
        </xdr:from>
        <xdr:to>
          <xdr:col>6</xdr:col>
          <xdr:colOff>542925</xdr:colOff>
          <xdr:row>2</xdr:row>
          <xdr:rowOff>66675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6</xdr:col>
      <xdr:colOff>457200</xdr:colOff>
      <xdr:row>15</xdr:row>
      <xdr:rowOff>123825</xdr:rowOff>
    </xdr:to>
    <xdr:graphicFrame macro="">
      <xdr:nvGraphicFramePr>
        <xdr:cNvPr id="14" name="graph_summary_1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</xdr:row>
      <xdr:rowOff>0</xdr:rowOff>
    </xdr:from>
    <xdr:to>
      <xdr:col>16</xdr:col>
      <xdr:colOff>457200</xdr:colOff>
      <xdr:row>15</xdr:row>
      <xdr:rowOff>123825</xdr:rowOff>
    </xdr:to>
    <xdr:graphicFrame macro="">
      <xdr:nvGraphicFramePr>
        <xdr:cNvPr id="15" name="graph_summary_2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</xdr:row>
      <xdr:rowOff>0</xdr:rowOff>
    </xdr:from>
    <xdr:to>
      <xdr:col>26</xdr:col>
      <xdr:colOff>457200</xdr:colOff>
      <xdr:row>15</xdr:row>
      <xdr:rowOff>123825</xdr:rowOff>
    </xdr:to>
    <xdr:graphicFrame macro="">
      <xdr:nvGraphicFramePr>
        <xdr:cNvPr id="16" name="graph_summary_3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0</xdr:colOff>
      <xdr:row>4</xdr:row>
      <xdr:rowOff>0</xdr:rowOff>
    </xdr:from>
    <xdr:to>
      <xdr:col>36</xdr:col>
      <xdr:colOff>457200</xdr:colOff>
      <xdr:row>15</xdr:row>
      <xdr:rowOff>123825</xdr:rowOff>
    </xdr:to>
    <xdr:graphicFrame macro="">
      <xdr:nvGraphicFramePr>
        <xdr:cNvPr id="17" name="graph_summary_4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40</xdr:col>
      <xdr:colOff>0</xdr:colOff>
      <xdr:row>4</xdr:row>
      <xdr:rowOff>0</xdr:rowOff>
    </xdr:from>
    <xdr:to>
      <xdr:col>46</xdr:col>
      <xdr:colOff>457200</xdr:colOff>
      <xdr:row>15</xdr:row>
      <xdr:rowOff>123825</xdr:rowOff>
    </xdr:to>
    <xdr:graphicFrame macro="">
      <xdr:nvGraphicFramePr>
        <xdr:cNvPr id="18" name="graph_summary_5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457200</xdr:colOff>
      <xdr:row>12</xdr:row>
      <xdr:rowOff>123825</xdr:rowOff>
    </xdr:to>
    <xdr:graphicFrame macro="">
      <xdr:nvGraphicFramePr>
        <xdr:cNvPr id="2" name="sim_graph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14</xdr:row>
      <xdr:rowOff>0</xdr:rowOff>
    </xdr:from>
    <xdr:to>
      <xdr:col>7</xdr:col>
      <xdr:colOff>457200</xdr:colOff>
      <xdr:row>25</xdr:row>
      <xdr:rowOff>123824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29</xdr:row>
      <xdr:rowOff>0</xdr:rowOff>
    </xdr:from>
    <xdr:to>
      <xdr:col>7</xdr:col>
      <xdr:colOff>457200</xdr:colOff>
      <xdr:row>40</xdr:row>
      <xdr:rowOff>123824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44</xdr:row>
      <xdr:rowOff>0</xdr:rowOff>
    </xdr:from>
    <xdr:to>
      <xdr:col>7</xdr:col>
      <xdr:colOff>457200</xdr:colOff>
      <xdr:row>55</xdr:row>
      <xdr:rowOff>123824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0</xdr:rowOff>
    </xdr:from>
    <xdr:to>
      <xdr:col>9</xdr:col>
      <xdr:colOff>519112</xdr:colOff>
      <xdr:row>19</xdr:row>
      <xdr:rowOff>47625</xdr:rowOff>
    </xdr:to>
    <xdr:graphicFrame macro="">
      <xdr:nvGraphicFramePr>
        <xdr:cNvPr id="14" name="graph_scatter_0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14</xdr:row>
      <xdr:rowOff>0</xdr:rowOff>
    </xdr:from>
    <xdr:to>
      <xdr:col>9</xdr:col>
      <xdr:colOff>519112</xdr:colOff>
      <xdr:row>28</xdr:row>
      <xdr:rowOff>47625</xdr:rowOff>
    </xdr:to>
    <xdr:graphicFrame macro="">
      <xdr:nvGraphicFramePr>
        <xdr:cNvPr id="15" name="graph_scatter_2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9</xdr:col>
      <xdr:colOff>519112</xdr:colOff>
      <xdr:row>43</xdr:row>
      <xdr:rowOff>47625</xdr:rowOff>
    </xdr:to>
    <xdr:graphicFrame macro="">
      <xdr:nvGraphicFramePr>
        <xdr:cNvPr id="16" name="graph_scatter_3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44</xdr:row>
      <xdr:rowOff>0</xdr:rowOff>
    </xdr:from>
    <xdr:to>
      <xdr:col>9</xdr:col>
      <xdr:colOff>519112</xdr:colOff>
      <xdr:row>58</xdr:row>
      <xdr:rowOff>47625</xdr:rowOff>
    </xdr:to>
    <xdr:graphicFrame macro="">
      <xdr:nvGraphicFramePr>
        <xdr:cNvPr id="17" name="graph_scatter_4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6</xdr:row>
      <xdr:rowOff>47625</xdr:rowOff>
    </xdr:from>
    <xdr:to>
      <xdr:col>12</xdr:col>
      <xdr:colOff>52387</xdr:colOff>
      <xdr:row>16</xdr:row>
      <xdr:rowOff>57150</xdr:rowOff>
    </xdr:to>
    <xdr:graphicFrame macro="">
      <xdr:nvGraphicFramePr>
        <xdr:cNvPr id="2" name="graph_scatter_0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13</xdr:row>
      <xdr:rowOff>0</xdr:rowOff>
    </xdr:from>
    <xdr:to>
      <xdr:col>9</xdr:col>
      <xdr:colOff>519112</xdr:colOff>
      <xdr:row>23</xdr:row>
      <xdr:rowOff>9525</xdr:rowOff>
    </xdr:to>
    <xdr:graphicFrame macro="">
      <xdr:nvGraphicFramePr>
        <xdr:cNvPr id="3" name="graph_scatter_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21</xdr:row>
      <xdr:rowOff>0</xdr:rowOff>
    </xdr:from>
    <xdr:to>
      <xdr:col>9</xdr:col>
      <xdr:colOff>519112</xdr:colOff>
      <xdr:row>31</xdr:row>
      <xdr:rowOff>9525</xdr:rowOff>
    </xdr:to>
    <xdr:graphicFrame macro="">
      <xdr:nvGraphicFramePr>
        <xdr:cNvPr id="4" name="graph_scatter_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9</xdr:col>
      <xdr:colOff>519112</xdr:colOff>
      <xdr:row>39</xdr:row>
      <xdr:rowOff>9525</xdr:rowOff>
    </xdr:to>
    <xdr:graphicFrame macro="">
      <xdr:nvGraphicFramePr>
        <xdr:cNvPr id="5" name="graph_scatter_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102053</xdr:colOff>
      <xdr:row>9</xdr:row>
      <xdr:rowOff>36738</xdr:rowOff>
    </xdr:from>
    <xdr:to>
      <xdr:col>13</xdr:col>
      <xdr:colOff>959303</xdr:colOff>
      <xdr:row>20</xdr:row>
      <xdr:rowOff>85724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3</xdr:row>
      <xdr:rowOff>133350</xdr:rowOff>
    </xdr:from>
    <xdr:to>
      <xdr:col>9</xdr:col>
      <xdr:colOff>53228</xdr:colOff>
      <xdr:row>14</xdr:row>
      <xdr:rowOff>226358</xdr:rowOff>
    </xdr:to>
    <xdr:graphicFrame macro="">
      <xdr:nvGraphicFramePr>
        <xdr:cNvPr id="2" name="graph_summary_templat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428625</xdr:colOff>
      <xdr:row>2</xdr:row>
      <xdr:rowOff>28575</xdr:rowOff>
    </xdr:from>
    <xdr:to>
      <xdr:col>22</xdr:col>
      <xdr:colOff>261937</xdr:colOff>
      <xdr:row>16</xdr:row>
      <xdr:rowOff>76200</xdr:rowOff>
    </xdr:to>
    <xdr:graphicFrame macro="">
      <xdr:nvGraphicFramePr>
        <xdr:cNvPr id="3" name="graph_scatter_template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7</xdr:row>
      <xdr:rowOff>228600</xdr:rowOff>
    </xdr:from>
    <xdr:to>
      <xdr:col>2</xdr:col>
      <xdr:colOff>542925</xdr:colOff>
      <xdr:row>22</xdr:row>
      <xdr:rowOff>95250</xdr:rowOff>
    </xdr:to>
    <xdr:pic>
      <xdr:nvPicPr>
        <xdr:cNvPr id="19" name="テスト1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304800" y="2895600"/>
          <a:ext cx="3438525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557212</xdr:colOff>
      <xdr:row>13</xdr:row>
      <xdr:rowOff>204787</xdr:rowOff>
    </xdr:from>
    <xdr:to>
      <xdr:col>17</xdr:col>
      <xdr:colOff>328612</xdr:colOff>
      <xdr:row>25</xdr:row>
      <xdr:rowOff>90487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319087</xdr:colOff>
      <xdr:row>13</xdr:row>
      <xdr:rowOff>176212</xdr:rowOff>
    </xdr:from>
    <xdr:to>
      <xdr:col>25</xdr:col>
      <xdr:colOff>90487</xdr:colOff>
      <xdr:row>25</xdr:row>
      <xdr:rowOff>61912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584055</xdr:colOff>
      <xdr:row>19</xdr:row>
      <xdr:rowOff>236395</xdr:rowOff>
    </xdr:from>
    <xdr:to>
      <xdr:col>9</xdr:col>
      <xdr:colOff>172748</xdr:colOff>
      <xdr:row>31</xdr:row>
      <xdr:rowOff>117765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847725</xdr:colOff>
      <xdr:row>5</xdr:row>
      <xdr:rowOff>61912</xdr:rowOff>
    </xdr:from>
    <xdr:to>
      <xdr:col>12</xdr:col>
      <xdr:colOff>85725</xdr:colOff>
      <xdr:row>16</xdr:row>
      <xdr:rowOff>185737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457200</xdr:colOff>
      <xdr:row>27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11</xdr:row>
      <xdr:rowOff>0</xdr:rowOff>
    </xdr:from>
    <xdr:to>
      <xdr:col>13</xdr:col>
      <xdr:colOff>390525</xdr:colOff>
      <xdr:row>27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95250</xdr:rowOff>
    </xdr:from>
    <xdr:to>
      <xdr:col>6</xdr:col>
      <xdr:colOff>457200</xdr:colOff>
      <xdr:row>21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5</xdr:row>
      <xdr:rowOff>95250</xdr:rowOff>
    </xdr:from>
    <xdr:to>
      <xdr:col>13</xdr:col>
      <xdr:colOff>390525</xdr:colOff>
      <xdr:row>21</xdr:row>
      <xdr:rowOff>95250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E3032-A9E7-4674-99B7-040C5D6F819D}">
  <sheetPr codeName="Sheet1"/>
  <dimension ref="A1:V20"/>
  <sheetViews>
    <sheetView tabSelected="1" workbookViewId="0"/>
  </sheetViews>
  <sheetFormatPr defaultRowHeight="18.75"/>
  <cols>
    <col min="1" max="3" width="9" style="13"/>
    <col min="4" max="4" width="3.25" style="13" customWidth="1"/>
    <col min="5" max="8" width="9" style="13"/>
    <col min="9" max="9" width="9" style="13" customWidth="1"/>
    <col min="10" max="10" width="2.625" style="13" customWidth="1"/>
    <col min="11" max="11" width="9" style="13" customWidth="1"/>
    <col min="12" max="12" width="2.625" style="13" customWidth="1"/>
    <col min="13" max="13" width="9" style="13" customWidth="1"/>
    <col min="14" max="14" width="2.625" style="13" customWidth="1"/>
    <col min="15" max="15" width="9" style="13" customWidth="1"/>
    <col min="16" max="16" width="2.625" style="13" customWidth="1"/>
    <col min="17" max="17" width="9" style="13" customWidth="1"/>
    <col min="18" max="18" width="2.625" style="13" customWidth="1"/>
    <col min="19" max="19" width="9" style="13" customWidth="1"/>
    <col min="20" max="20" width="2.625" style="13" customWidth="1"/>
    <col min="21" max="16384" width="9" style="13"/>
  </cols>
  <sheetData>
    <row r="1" spans="1:22" ht="33">
      <c r="A1" s="15" t="s">
        <v>64</v>
      </c>
    </row>
    <row r="2" spans="1:22">
      <c r="A2" s="13" t="s">
        <v>65</v>
      </c>
    </row>
    <row r="4" spans="1:22">
      <c r="E4" s="13" t="s">
        <v>295</v>
      </c>
    </row>
    <row r="5" spans="1:22">
      <c r="E5" s="13" t="s">
        <v>294</v>
      </c>
    </row>
    <row r="7" spans="1:22">
      <c r="E7" s="13" t="s">
        <v>130</v>
      </c>
    </row>
    <row r="9" spans="1:22">
      <c r="E9" s="13" t="s">
        <v>221</v>
      </c>
    </row>
    <row r="10" spans="1:22" ht="45.75" customHeight="1"/>
    <row r="11" spans="1:22" ht="45.75" customHeight="1"/>
    <row r="12" spans="1:22">
      <c r="A12" s="29" t="s">
        <v>63</v>
      </c>
      <c r="B12" s="28"/>
      <c r="C12" s="28"/>
      <c r="D12" s="28" t="s">
        <v>66</v>
      </c>
      <c r="E12" s="28"/>
      <c r="F12" s="28"/>
      <c r="I12" s="28"/>
      <c r="J12" s="28" t="s">
        <v>112</v>
      </c>
      <c r="L12" s="28"/>
      <c r="M12" s="28"/>
      <c r="N12" s="28"/>
      <c r="O12" s="28"/>
      <c r="P12" s="28"/>
      <c r="Q12" s="28"/>
      <c r="R12" s="28"/>
      <c r="S12" s="28"/>
      <c r="T12" s="28"/>
      <c r="U12" s="28"/>
    </row>
    <row r="13" spans="1:22">
      <c r="A13" s="28"/>
      <c r="B13" s="28"/>
      <c r="C13" s="28"/>
      <c r="D13" s="28" t="s">
        <v>111</v>
      </c>
      <c r="E13" s="28"/>
      <c r="F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</row>
    <row r="14" spans="1:22">
      <c r="A14" s="28"/>
      <c r="B14" s="28">
        <v>3</v>
      </c>
      <c r="C14" s="28"/>
      <c r="D14" s="30"/>
      <c r="E14" s="31" t="s">
        <v>0</v>
      </c>
      <c r="F14" s="31" t="s">
        <v>117</v>
      </c>
      <c r="G14" s="28"/>
      <c r="H14" s="28"/>
      <c r="J14" s="16" t="s">
        <v>114</v>
      </c>
      <c r="K14" s="16" t="s">
        <v>113</v>
      </c>
      <c r="L14" s="16" t="s">
        <v>114</v>
      </c>
      <c r="M14" s="16" t="s">
        <v>104</v>
      </c>
      <c r="N14" s="16" t="s">
        <v>114</v>
      </c>
      <c r="O14" s="16" t="s">
        <v>106</v>
      </c>
      <c r="P14" s="16" t="s">
        <v>114</v>
      </c>
      <c r="Q14" s="16" t="s">
        <v>107</v>
      </c>
      <c r="R14" s="16" t="s">
        <v>114</v>
      </c>
      <c r="S14" s="16" t="s">
        <v>108</v>
      </c>
      <c r="T14" s="16" t="s">
        <v>114</v>
      </c>
      <c r="U14" s="16" t="s">
        <v>109</v>
      </c>
      <c r="V14" s="28"/>
    </row>
    <row r="15" spans="1:22">
      <c r="A15" s="28"/>
      <c r="B15" s="28"/>
      <c r="C15" s="28"/>
      <c r="D15" s="14" t="s">
        <v>115</v>
      </c>
      <c r="E15" s="14" t="s">
        <v>84</v>
      </c>
      <c r="F15" s="14" t="s">
        <v>24</v>
      </c>
      <c r="G15" s="28"/>
      <c r="H15" s="28"/>
      <c r="J15" s="14" t="s">
        <v>115</v>
      </c>
      <c r="K15" s="14">
        <v>1100000000000</v>
      </c>
      <c r="L15" s="14"/>
      <c r="M15" s="14">
        <v>200000000000</v>
      </c>
      <c r="N15" s="14" t="s">
        <v>115</v>
      </c>
      <c r="O15" s="14">
        <v>5200000000000</v>
      </c>
      <c r="P15" s="14"/>
      <c r="Q15" s="14">
        <v>1</v>
      </c>
      <c r="R15" s="14" t="s">
        <v>115</v>
      </c>
      <c r="S15" s="14">
        <v>311000000000</v>
      </c>
      <c r="T15" s="14"/>
      <c r="U15" s="14">
        <v>-1.1000000000000001</v>
      </c>
      <c r="V15" s="28"/>
    </row>
    <row r="16" spans="1:22">
      <c r="A16" s="28"/>
      <c r="B16" s="28"/>
      <c r="C16" s="28"/>
      <c r="D16" s="14" t="s">
        <v>115</v>
      </c>
      <c r="E16" s="14" t="s">
        <v>68</v>
      </c>
      <c r="F16" s="14" t="s">
        <v>24</v>
      </c>
      <c r="G16" s="28"/>
      <c r="H16" s="28"/>
      <c r="J16" s="14" t="s">
        <v>115</v>
      </c>
      <c r="K16" s="14">
        <v>1200000000000</v>
      </c>
      <c r="L16" s="14"/>
      <c r="M16" s="14">
        <v>300000000000</v>
      </c>
      <c r="N16" s="14" t="s">
        <v>115</v>
      </c>
      <c r="O16" s="14">
        <v>5300000000000</v>
      </c>
      <c r="P16" s="14"/>
      <c r="Q16" s="14">
        <v>2</v>
      </c>
      <c r="R16" s="14" t="s">
        <v>115</v>
      </c>
      <c r="S16" s="14">
        <v>330000000000</v>
      </c>
      <c r="T16" s="14"/>
      <c r="U16" s="14">
        <v>-1.2</v>
      </c>
      <c r="V16" s="28"/>
    </row>
    <row r="17" spans="1:22">
      <c r="A17" s="28"/>
      <c r="B17" s="28"/>
      <c r="C17" s="28"/>
      <c r="D17" s="14" t="s">
        <v>115</v>
      </c>
      <c r="E17" s="14" t="s">
        <v>70</v>
      </c>
      <c r="F17" s="14" t="s">
        <v>24</v>
      </c>
      <c r="G17" s="28"/>
      <c r="H17" s="28"/>
      <c r="J17" s="14" t="s">
        <v>115</v>
      </c>
      <c r="K17" s="14">
        <v>1300000000000</v>
      </c>
      <c r="L17" s="14"/>
      <c r="M17" s="14"/>
      <c r="N17" s="14"/>
      <c r="O17" s="14">
        <v>5400000000000</v>
      </c>
      <c r="P17" s="14"/>
      <c r="Q17" s="14">
        <v>3</v>
      </c>
      <c r="R17" s="14" t="s">
        <v>115</v>
      </c>
      <c r="S17" s="14">
        <v>360000000000</v>
      </c>
      <c r="T17" s="14"/>
      <c r="U17" s="14">
        <v>-1.3</v>
      </c>
      <c r="V17" s="28"/>
    </row>
    <row r="18" spans="1:22">
      <c r="A18" s="28"/>
      <c r="B18" s="28"/>
      <c r="C18" s="28"/>
      <c r="D18" s="14" t="s">
        <v>115</v>
      </c>
      <c r="E18" s="14" t="s">
        <v>74</v>
      </c>
      <c r="F18" s="14" t="s">
        <v>118</v>
      </c>
      <c r="G18" s="28"/>
      <c r="H18" s="28"/>
      <c r="J18" s="14"/>
      <c r="K18" s="14">
        <v>1400000000000</v>
      </c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</row>
    <row r="19" spans="1:22">
      <c r="A19" s="28"/>
      <c r="B19" s="28"/>
      <c r="C19" s="28"/>
      <c r="D19" s="14" t="s">
        <v>115</v>
      </c>
      <c r="E19" s="14" t="s">
        <v>85</v>
      </c>
      <c r="F19" s="14" t="s">
        <v>119</v>
      </c>
      <c r="G19" s="28"/>
      <c r="H19" s="28"/>
      <c r="V19" s="28"/>
    </row>
    <row r="20" spans="1:22">
      <c r="G20" s="28"/>
      <c r="H20" s="28"/>
      <c r="V20" s="28"/>
    </row>
  </sheetData>
  <phoneticPr fontId="1"/>
  <dataValidations count="1">
    <dataValidation type="list" allowBlank="1" showInputMessage="1" showErrorMessage="1" sqref="D14:D19 P15:P19 L15:L19 N15:N19 J15:J19 R15:R19 T15:T19" xr:uid="{C269EBC3-89B4-42F1-A232-2CD76BCEC123}">
      <formula1>"　,レ"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_read_jyoken">
              <controlPr defaultSize="0" print="0" autoFill="0" autoPict="0" macro="[0]!Button_read_jyoken_Click">
                <anchor moveWithCells="1" sizeWithCells="1">
                  <from>
                    <xdr:col>0</xdr:col>
                    <xdr:colOff>190500</xdr:colOff>
                    <xdr:row>2</xdr:row>
                    <xdr:rowOff>209550</xdr:rowOff>
                  </from>
                  <to>
                    <xdr:col>3</xdr:col>
                    <xdr:colOff>104775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_read_settei">
              <controlPr defaultSize="0" print="0" autoFill="0" autoPict="0" macro="[0]!Button_read_settei_Click">
                <anchor moveWithCells="1" sizeWithCells="1">
                  <from>
                    <xdr:col>0</xdr:col>
                    <xdr:colOff>200025</xdr:colOff>
                    <xdr:row>5</xdr:row>
                    <xdr:rowOff>200025</xdr:rowOff>
                  </from>
                  <to>
                    <xdr:col>3</xdr:col>
                    <xdr:colOff>114300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_read_speed">
              <controlPr defaultSize="0" print="0" autoFill="0" autoPict="0" macro="[0]!Button_read_speed_Click">
                <anchor moveWithCells="1" sizeWithCells="1">
                  <from>
                    <xdr:col>0</xdr:col>
                    <xdr:colOff>209550</xdr:colOff>
                    <xdr:row>7</xdr:row>
                    <xdr:rowOff>171450</xdr:rowOff>
                  </from>
                  <to>
                    <xdr:col>3</xdr:col>
                    <xdr:colOff>123825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Box_summary">
              <controlPr defaultSize="0" autoFill="0" autoLine="0" autoPict="0">
                <anchor moveWithCells="1">
                  <from>
                    <xdr:col>0</xdr:col>
                    <xdr:colOff>257175</xdr:colOff>
                    <xdr:row>9</xdr:row>
                    <xdr:rowOff>66675</xdr:rowOff>
                  </from>
                  <to>
                    <xdr:col>3</xdr:col>
                    <xdr:colOff>219075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box_scatter">
              <controlPr defaultSize="0" autoFill="0" autoLine="0" autoPict="0">
                <anchor moveWithCells="1">
                  <from>
                    <xdr:col>0</xdr:col>
                    <xdr:colOff>247650</xdr:colOff>
                    <xdr:row>10</xdr:row>
                    <xdr:rowOff>28575</xdr:rowOff>
                  </from>
                  <to>
                    <xdr:col>2</xdr:col>
                    <xdr:colOff>19050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omboScatterX">
              <controlPr defaultSize="0" autoLine="0" autoPict="0">
                <anchor moveWithCells="1">
                  <from>
                    <xdr:col>0</xdr:col>
                    <xdr:colOff>361950</xdr:colOff>
                    <xdr:row>12</xdr:row>
                    <xdr:rowOff>47625</xdr:rowOff>
                  </from>
                  <to>
                    <xdr:col>2</xdr:col>
                    <xdr:colOff>314325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Button_jikkou_Click">
                <anchor moveWithCells="1" sizeWithCells="1">
                  <from>
                    <xdr:col>5</xdr:col>
                    <xdr:colOff>400050</xdr:colOff>
                    <xdr:row>1</xdr:row>
                    <xdr:rowOff>0</xdr:rowOff>
                  </from>
                  <to>
                    <xdr:col>6</xdr:col>
                    <xdr:colOff>542925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389E3-1AD7-405A-9F72-1401B47B2866}">
  <sheetPr codeName="Sheet6">
    <tabColor theme="9"/>
  </sheetPr>
  <dimension ref="A1:I13"/>
  <sheetViews>
    <sheetView workbookViewId="0">
      <selection activeCell="F16" sqref="F16"/>
    </sheetView>
  </sheetViews>
  <sheetFormatPr defaultRowHeight="18.75"/>
  <cols>
    <col min="1" max="1" width="21.875" customWidth="1"/>
  </cols>
  <sheetData>
    <row r="1" spans="1:9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</row>
    <row r="2" spans="1:9">
      <c r="A2" s="2" t="s">
        <v>265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</row>
    <row r="3" spans="1:9">
      <c r="A3" s="2" t="s">
        <v>266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</row>
    <row r="4" spans="1:9">
      <c r="A4" s="2" t="s">
        <v>267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</row>
    <row r="5" spans="1:9">
      <c r="A5" s="2" t="s">
        <v>268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</row>
    <row r="6" spans="1:9">
      <c r="A6" s="2" t="s">
        <v>269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</row>
    <row r="7" spans="1:9">
      <c r="A7" s="2" t="s">
        <v>270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</row>
    <row r="8" spans="1:9">
      <c r="A8" s="2" t="s">
        <v>271</v>
      </c>
      <c r="B8" s="4">
        <v>1200000000000</v>
      </c>
      <c r="C8" s="1">
        <v>200000000000</v>
      </c>
      <c r="D8" s="2">
        <v>1</v>
      </c>
      <c r="E8" s="22">
        <v>5400000000000</v>
      </c>
      <c r="F8" s="2">
        <v>1</v>
      </c>
      <c r="G8" s="23">
        <v>330000000000</v>
      </c>
      <c r="H8" s="39">
        <v>-1.3</v>
      </c>
      <c r="I8" s="2">
        <v>2</v>
      </c>
    </row>
    <row r="9" spans="1:9">
      <c r="A9" s="2" t="s">
        <v>272</v>
      </c>
      <c r="B9" s="4">
        <v>1300000000000</v>
      </c>
      <c r="C9" s="24">
        <v>300000000000</v>
      </c>
      <c r="D9" s="2">
        <v>1</v>
      </c>
      <c r="E9" s="1">
        <v>5200000000000</v>
      </c>
      <c r="F9" s="18">
        <v>2</v>
      </c>
      <c r="G9" s="23">
        <v>330000000000</v>
      </c>
      <c r="H9" s="39">
        <v>-1.3</v>
      </c>
      <c r="I9" s="2">
        <v>2</v>
      </c>
    </row>
    <row r="10" spans="1:9">
      <c r="A10" s="2" t="s">
        <v>273</v>
      </c>
      <c r="B10" s="4">
        <v>1300000000000</v>
      </c>
      <c r="C10" s="24">
        <v>300000000000</v>
      </c>
      <c r="D10" s="2">
        <v>1</v>
      </c>
      <c r="E10" s="21">
        <v>5300000000000</v>
      </c>
      <c r="F10" s="19">
        <v>3</v>
      </c>
      <c r="G10" s="23">
        <v>330000000000</v>
      </c>
      <c r="H10" s="39">
        <v>-1.3</v>
      </c>
      <c r="I10" s="2">
        <v>2</v>
      </c>
    </row>
    <row r="11" spans="1:9">
      <c r="A11" s="2" t="s">
        <v>274</v>
      </c>
      <c r="B11" s="4">
        <v>1300000000000</v>
      </c>
      <c r="C11" s="24">
        <v>300000000000</v>
      </c>
      <c r="D11" s="2">
        <v>1</v>
      </c>
      <c r="E11" s="26">
        <v>5400000000000</v>
      </c>
      <c r="F11" s="2">
        <v>1</v>
      </c>
      <c r="G11" s="23">
        <v>330000000000</v>
      </c>
      <c r="H11" s="39">
        <v>-1.3</v>
      </c>
      <c r="I11" s="2">
        <v>2</v>
      </c>
    </row>
    <row r="12" spans="1:9">
      <c r="A12" s="2" t="s">
        <v>275</v>
      </c>
      <c r="B12" s="4">
        <v>1300000000000</v>
      </c>
      <c r="C12" s="24">
        <v>300000000000</v>
      </c>
      <c r="D12" s="2">
        <v>1</v>
      </c>
      <c r="E12" s="1">
        <v>5200000000000</v>
      </c>
      <c r="F12" s="18">
        <v>2</v>
      </c>
      <c r="G12" s="25">
        <v>360000000000</v>
      </c>
      <c r="H12" s="39">
        <v>-1.3</v>
      </c>
      <c r="I12" s="2">
        <v>2</v>
      </c>
    </row>
    <row r="13" spans="1:9">
      <c r="A13" s="2" t="s">
        <v>276</v>
      </c>
      <c r="B13" s="4">
        <v>1400000000000</v>
      </c>
      <c r="C13" s="24">
        <v>300000000000</v>
      </c>
      <c r="D13" s="2">
        <v>1</v>
      </c>
      <c r="E13" s="21">
        <v>5300000000000</v>
      </c>
      <c r="F13" s="19">
        <v>3</v>
      </c>
      <c r="G13" s="25">
        <v>360000000000</v>
      </c>
      <c r="H13" s="39">
        <v>-1.3</v>
      </c>
      <c r="I13" s="2">
        <v>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07A9B-8C5F-47F8-B7DA-BBA43ED381AC}">
  <sheetPr codeName="Sheet11">
    <tabColor theme="9"/>
  </sheetPr>
  <dimension ref="A1:H6"/>
  <sheetViews>
    <sheetView workbookViewId="0">
      <selection activeCell="B12" sqref="B12"/>
    </sheetView>
  </sheetViews>
  <sheetFormatPr defaultRowHeight="18.75"/>
  <cols>
    <col min="1" max="1" width="13" bestFit="1" customWidth="1"/>
    <col min="5" max="5" width="15.5" bestFit="1" customWidth="1"/>
  </cols>
  <sheetData>
    <row r="1" spans="1:8">
      <c r="A1" s="2" t="s">
        <v>0</v>
      </c>
      <c r="B1" s="2" t="s">
        <v>1</v>
      </c>
      <c r="C1" s="2" t="s">
        <v>2</v>
      </c>
      <c r="D1" s="2" t="s">
        <v>3</v>
      </c>
      <c r="E1" s="2" t="s">
        <v>117</v>
      </c>
      <c r="F1" s="2" t="s">
        <v>8</v>
      </c>
      <c r="G1" s="2" t="s">
        <v>9</v>
      </c>
      <c r="H1" s="2" t="s">
        <v>10</v>
      </c>
    </row>
    <row r="2" spans="1:8">
      <c r="A2" t="s">
        <v>5</v>
      </c>
      <c r="B2" s="1">
        <v>2.41</v>
      </c>
      <c r="C2" s="2" t="s">
        <v>4</v>
      </c>
      <c r="D2" s="2"/>
      <c r="E2" s="2" t="s">
        <v>30</v>
      </c>
      <c r="F2" s="2"/>
      <c r="G2" s="2"/>
      <c r="H2" s="2"/>
    </row>
    <row r="3" spans="1:8">
      <c r="A3" t="s">
        <v>69</v>
      </c>
      <c r="B3" s="1">
        <v>0.66</v>
      </c>
      <c r="C3" s="2" t="s">
        <v>6</v>
      </c>
      <c r="D3" s="2">
        <v>-0.16200000000000001</v>
      </c>
      <c r="E3" s="2" t="s">
        <v>24</v>
      </c>
      <c r="F3" s="2"/>
      <c r="G3" s="2"/>
      <c r="H3" s="2"/>
    </row>
    <row r="4" spans="1:8">
      <c r="A4" t="s">
        <v>71</v>
      </c>
      <c r="B4" s="1">
        <v>6.3E-2</v>
      </c>
      <c r="C4" s="2" t="s">
        <v>6</v>
      </c>
      <c r="D4" s="2"/>
      <c r="E4" s="2" t="s">
        <v>24</v>
      </c>
      <c r="F4" s="2"/>
      <c r="G4" s="2"/>
      <c r="H4" s="2"/>
    </row>
    <row r="5" spans="1:8">
      <c r="A5" t="s">
        <v>7</v>
      </c>
      <c r="B5" s="2"/>
      <c r="C5" s="2" t="s">
        <v>6</v>
      </c>
      <c r="D5" s="1">
        <v>1.53</v>
      </c>
      <c r="E5" s="2" t="s">
        <v>118</v>
      </c>
      <c r="F5" s="2"/>
      <c r="G5" s="2"/>
      <c r="H5" s="2" t="s">
        <v>11</v>
      </c>
    </row>
    <row r="6" spans="1:8">
      <c r="A6" t="s">
        <v>83</v>
      </c>
      <c r="B6" s="3">
        <v>0.39700000000000002</v>
      </c>
      <c r="C6" s="2" t="s">
        <v>6</v>
      </c>
      <c r="D6" s="1">
        <v>0.391666666666667</v>
      </c>
      <c r="E6" s="2" t="s">
        <v>119</v>
      </c>
      <c r="F6" s="2"/>
      <c r="G6" s="2"/>
      <c r="H6" s="2"/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6956C-1032-4548-994F-3F2E48073BC0}">
  <sheetPr codeName="Sheet22">
    <tabColor theme="9"/>
  </sheetPr>
  <dimension ref="A1:Q16"/>
  <sheetViews>
    <sheetView workbookViewId="0">
      <selection sqref="A1:XFD104857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119</v>
      </c>
      <c r="Q1" t="s">
        <v>119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0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119</v>
      </c>
      <c r="Q4" t="s">
        <v>119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B038B-C866-4B12-9567-DB0D49A744D6}">
  <sheetPr codeName="Sheet21">
    <tabColor theme="9"/>
  </sheetPr>
  <dimension ref="A1:Q16"/>
  <sheetViews>
    <sheetView workbookViewId="0">
      <selection activeCell="I8" sqref="I8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119</v>
      </c>
      <c r="Q1" t="s">
        <v>119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0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119</v>
      </c>
      <c r="Q4" t="s">
        <v>119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2BE25-29F8-456C-809D-F8AE9D0E1705}">
  <sheetPr codeName="Sheet14">
    <tabColor rgb="FFFFFF00"/>
  </sheetPr>
  <dimension ref="A1:Z20"/>
  <sheetViews>
    <sheetView zoomScale="85" zoomScaleNormal="85" workbookViewId="0"/>
  </sheetViews>
  <sheetFormatPr defaultRowHeight="18.75"/>
  <sheetData>
    <row r="1" spans="1:26">
      <c r="A1" t="s">
        <v>296</v>
      </c>
    </row>
    <row r="5" spans="1:26">
      <c r="A5" t="s">
        <v>209</v>
      </c>
      <c r="B5" t="s">
        <v>118</v>
      </c>
      <c r="G5" t="s">
        <v>209</v>
      </c>
      <c r="H5" t="s">
        <v>118</v>
      </c>
      <c r="M5" t="s">
        <v>209</v>
      </c>
      <c r="N5" t="s">
        <v>24</v>
      </c>
      <c r="S5" t="s">
        <v>209</v>
      </c>
      <c r="T5" t="s">
        <v>24</v>
      </c>
      <c r="Y5" t="s">
        <v>209</v>
      </c>
      <c r="Z5" t="s">
        <v>119</v>
      </c>
    </row>
    <row r="6" spans="1:26">
      <c r="A6" t="s">
        <v>210</v>
      </c>
      <c r="B6" t="s">
        <v>36</v>
      </c>
      <c r="G6" t="s">
        <v>210</v>
      </c>
      <c r="H6" t="s">
        <v>38</v>
      </c>
      <c r="M6" t="s">
        <v>210</v>
      </c>
      <c r="N6" t="s">
        <v>41</v>
      </c>
      <c r="S6" t="s">
        <v>210</v>
      </c>
      <c r="T6" t="s">
        <v>42</v>
      </c>
      <c r="Y6" t="s">
        <v>210</v>
      </c>
      <c r="Z6" t="s">
        <v>214</v>
      </c>
    </row>
    <row r="7" spans="1:26">
      <c r="A7" t="s">
        <v>212</v>
      </c>
      <c r="B7" t="s">
        <v>217</v>
      </c>
      <c r="G7" t="s">
        <v>212</v>
      </c>
      <c r="H7" t="s">
        <v>218</v>
      </c>
      <c r="M7" t="s">
        <v>212</v>
      </c>
      <c r="N7" t="s">
        <v>213</v>
      </c>
      <c r="S7" t="s">
        <v>212</v>
      </c>
      <c r="T7" t="s">
        <v>213</v>
      </c>
      <c r="Y7" t="s">
        <v>212</v>
      </c>
      <c r="Z7" t="s">
        <v>119</v>
      </c>
    </row>
    <row r="8" spans="1:26">
      <c r="A8" t="s">
        <v>211</v>
      </c>
      <c r="B8" t="s">
        <v>70</v>
      </c>
      <c r="G8" t="s">
        <v>211</v>
      </c>
      <c r="H8" t="s">
        <v>74</v>
      </c>
      <c r="M8" t="s">
        <v>211</v>
      </c>
      <c r="N8" t="s">
        <v>84</v>
      </c>
      <c r="S8" t="s">
        <v>211</v>
      </c>
      <c r="T8" t="s">
        <v>215</v>
      </c>
      <c r="Y8" t="s">
        <v>211</v>
      </c>
      <c r="Z8" t="s">
        <v>216</v>
      </c>
    </row>
    <row r="9" spans="1:26">
      <c r="A9" t="s">
        <v>15</v>
      </c>
      <c r="B9">
        <v>6.1600000000000002E-2</v>
      </c>
      <c r="G9" t="s">
        <v>15</v>
      </c>
      <c r="H9">
        <v>2.33</v>
      </c>
      <c r="M9" t="s">
        <v>15</v>
      </c>
      <c r="N9">
        <v>2.29</v>
      </c>
      <c r="S9" t="s">
        <v>15</v>
      </c>
      <c r="T9">
        <v>0.2</v>
      </c>
      <c r="Y9" t="s">
        <v>15</v>
      </c>
      <c r="Z9">
        <v>0.38</v>
      </c>
    </row>
    <row r="10" spans="1:26">
      <c r="A10" t="s">
        <v>16</v>
      </c>
      <c r="B10">
        <v>6.1800000000000001E-2</v>
      </c>
      <c r="G10" t="s">
        <v>16</v>
      </c>
      <c r="H10">
        <v>2.23</v>
      </c>
      <c r="M10" t="s">
        <v>16</v>
      </c>
      <c r="N10">
        <v>2.31</v>
      </c>
      <c r="S10" t="s">
        <v>16</v>
      </c>
      <c r="T10">
        <v>0.2</v>
      </c>
      <c r="Y10" t="s">
        <v>16</v>
      </c>
      <c r="Z10">
        <v>0.38</v>
      </c>
    </row>
    <row r="11" spans="1:26">
      <c r="A11" t="s">
        <v>17</v>
      </c>
      <c r="B11">
        <v>6.2E-2</v>
      </c>
      <c r="G11" t="s">
        <v>17</v>
      </c>
      <c r="H11">
        <v>2.13</v>
      </c>
      <c r="M11" t="s">
        <v>17</v>
      </c>
      <c r="N11">
        <v>2.33</v>
      </c>
      <c r="S11" t="s">
        <v>17</v>
      </c>
      <c r="T11">
        <v>0.2</v>
      </c>
      <c r="Y11" t="s">
        <v>17</v>
      </c>
      <c r="Z11">
        <v>0.38</v>
      </c>
    </row>
    <row r="12" spans="1:26">
      <c r="A12" t="s">
        <v>18</v>
      </c>
      <c r="B12">
        <v>6.2199999999999998E-2</v>
      </c>
      <c r="G12" t="s">
        <v>18</v>
      </c>
      <c r="H12">
        <v>2.0299999999999998</v>
      </c>
      <c r="M12" t="s">
        <v>18</v>
      </c>
      <c r="N12">
        <v>2.35</v>
      </c>
      <c r="S12" t="s">
        <v>18</v>
      </c>
      <c r="T12">
        <v>0.2</v>
      </c>
      <c r="Y12" t="s">
        <v>18</v>
      </c>
      <c r="Z12">
        <v>0.38</v>
      </c>
    </row>
    <row r="13" spans="1:26">
      <c r="A13" t="s">
        <v>19</v>
      </c>
      <c r="B13">
        <v>6.2399999999999997E-2</v>
      </c>
      <c r="G13" t="s">
        <v>19</v>
      </c>
      <c r="H13">
        <v>1.93</v>
      </c>
      <c r="M13" t="s">
        <v>19</v>
      </c>
      <c r="N13">
        <v>2.37</v>
      </c>
      <c r="S13" t="s">
        <v>19</v>
      </c>
      <c r="T13">
        <v>0.2</v>
      </c>
      <c r="Y13" t="s">
        <v>19</v>
      </c>
      <c r="Z13">
        <v>0.38</v>
      </c>
    </row>
    <row r="14" spans="1:26">
      <c r="A14" t="s">
        <v>20</v>
      </c>
      <c r="B14">
        <v>6.2600000000000003E-2</v>
      </c>
      <c r="G14" t="s">
        <v>20</v>
      </c>
      <c r="H14">
        <v>1.83</v>
      </c>
      <c r="M14" t="s">
        <v>20</v>
      </c>
      <c r="N14">
        <v>2.39</v>
      </c>
      <c r="S14" t="s">
        <v>20</v>
      </c>
      <c r="T14">
        <v>0.2</v>
      </c>
      <c r="Y14" t="s">
        <v>20</v>
      </c>
      <c r="Z14">
        <v>0.38</v>
      </c>
    </row>
    <row r="15" spans="1:26">
      <c r="A15" t="s">
        <v>86</v>
      </c>
      <c r="B15">
        <v>6.2799999999999995E-2</v>
      </c>
      <c r="G15" t="s">
        <v>86</v>
      </c>
      <c r="H15">
        <v>1.73</v>
      </c>
      <c r="M15" t="s">
        <v>86</v>
      </c>
      <c r="N15">
        <v>2.41</v>
      </c>
      <c r="S15" t="s">
        <v>86</v>
      </c>
      <c r="T15">
        <v>0.2</v>
      </c>
      <c r="Y15" t="s">
        <v>86</v>
      </c>
      <c r="Z15">
        <v>0.38</v>
      </c>
    </row>
    <row r="16" spans="1:26">
      <c r="A16" t="s">
        <v>87</v>
      </c>
      <c r="B16">
        <v>6.3E-2</v>
      </c>
      <c r="G16" t="s">
        <v>87</v>
      </c>
      <c r="H16">
        <v>1.63</v>
      </c>
      <c r="M16" t="s">
        <v>87</v>
      </c>
      <c r="N16">
        <v>2.4300000000000002</v>
      </c>
      <c r="S16" t="s">
        <v>87</v>
      </c>
      <c r="T16">
        <v>0.2</v>
      </c>
      <c r="Y16" t="s">
        <v>87</v>
      </c>
      <c r="Z16">
        <v>0.38</v>
      </c>
    </row>
    <row r="17" spans="1:26">
      <c r="A17" t="s">
        <v>93</v>
      </c>
      <c r="B17">
        <v>6.3200000000000006E-2</v>
      </c>
      <c r="G17" t="s">
        <v>93</v>
      </c>
      <c r="H17">
        <v>1.53</v>
      </c>
      <c r="M17" t="s">
        <v>93</v>
      </c>
      <c r="N17">
        <v>2.4500000000000002</v>
      </c>
      <c r="S17" t="s">
        <v>93</v>
      </c>
      <c r="T17">
        <v>0.2</v>
      </c>
      <c r="Y17" t="s">
        <v>93</v>
      </c>
      <c r="Z17">
        <v>0.38</v>
      </c>
    </row>
    <row r="18" spans="1:26">
      <c r="A18" t="s">
        <v>94</v>
      </c>
      <c r="B18">
        <v>6.3399999999999998E-2</v>
      </c>
      <c r="G18" t="s">
        <v>94</v>
      </c>
      <c r="H18">
        <v>1.43</v>
      </c>
      <c r="M18" t="s">
        <v>94</v>
      </c>
      <c r="N18">
        <v>2.4700000000000002</v>
      </c>
      <c r="S18" t="s">
        <v>94</v>
      </c>
      <c r="T18">
        <v>0.2</v>
      </c>
      <c r="Y18" t="s">
        <v>94</v>
      </c>
      <c r="Z18">
        <v>0.38</v>
      </c>
    </row>
    <row r="19" spans="1:26">
      <c r="A19" t="s">
        <v>95</v>
      </c>
      <c r="B19">
        <v>6.3600000000000004E-2</v>
      </c>
      <c r="G19" t="s">
        <v>95</v>
      </c>
      <c r="H19">
        <v>1.33</v>
      </c>
      <c r="M19" t="s">
        <v>95</v>
      </c>
      <c r="N19">
        <v>2.4900000000000002</v>
      </c>
      <c r="S19" t="s">
        <v>95</v>
      </c>
      <c r="T19">
        <v>0.2</v>
      </c>
      <c r="Y19" t="s">
        <v>95</v>
      </c>
      <c r="Z19">
        <v>0.38</v>
      </c>
    </row>
    <row r="20" spans="1:26">
      <c r="A20" t="s">
        <v>96</v>
      </c>
      <c r="B20">
        <v>6.3799999999999996E-2</v>
      </c>
      <c r="G20" t="s">
        <v>96</v>
      </c>
      <c r="H20">
        <v>1.23</v>
      </c>
      <c r="M20" t="s">
        <v>96</v>
      </c>
      <c r="N20">
        <v>2.5099999999999998</v>
      </c>
      <c r="S20" t="s">
        <v>96</v>
      </c>
      <c r="T20">
        <v>0.2</v>
      </c>
      <c r="Y20" t="s">
        <v>96</v>
      </c>
      <c r="Z20">
        <v>0.38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512A3-7BC8-4000-AAFB-E556A684D64E}">
  <sheetPr codeName="Sheet15">
    <tabColor rgb="FFFFFF00"/>
  </sheetPr>
  <dimension ref="A1:E13"/>
  <sheetViews>
    <sheetView zoomScale="85" zoomScaleNormal="85" workbookViewId="0">
      <selection sqref="A1:E14"/>
    </sheetView>
  </sheetViews>
  <sheetFormatPr defaultRowHeight="18.75"/>
  <sheetData>
    <row r="1" spans="1:5">
      <c r="A1" s="5" t="s">
        <v>21</v>
      </c>
      <c r="B1" t="s">
        <v>69</v>
      </c>
      <c r="C1" t="s">
        <v>7</v>
      </c>
      <c r="D1" s="20" t="s">
        <v>5</v>
      </c>
      <c r="E1" t="s">
        <v>83</v>
      </c>
    </row>
    <row r="2" spans="1:5">
      <c r="A2" t="s">
        <v>15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5">
      <c r="A3" t="s">
        <v>16</v>
      </c>
      <c r="B3" s="1">
        <v>0.65100000000000002</v>
      </c>
      <c r="C3" s="1">
        <v>2.23</v>
      </c>
      <c r="D3" s="1">
        <v>2.31</v>
      </c>
      <c r="E3" s="1">
        <v>0.40100000000000002</v>
      </c>
    </row>
    <row r="4" spans="1:5">
      <c r="A4" t="s">
        <v>17</v>
      </c>
      <c r="B4" s="1">
        <v>0.65300000000000002</v>
      </c>
      <c r="C4" s="1">
        <v>2.13</v>
      </c>
      <c r="D4" s="1">
        <v>2.33</v>
      </c>
      <c r="E4" s="1">
        <v>0.39800000000000002</v>
      </c>
    </row>
    <row r="5" spans="1:5">
      <c r="A5" t="s">
        <v>18</v>
      </c>
      <c r="B5" s="1">
        <v>0.65500000000000003</v>
      </c>
      <c r="C5" s="1">
        <v>2.0299999999999998</v>
      </c>
      <c r="D5" s="1">
        <v>2.35</v>
      </c>
      <c r="E5" s="1">
        <v>0.397666666666667</v>
      </c>
    </row>
    <row r="6" spans="1:5">
      <c r="A6" t="s">
        <v>19</v>
      </c>
      <c r="B6" s="1">
        <v>0.65700000000000003</v>
      </c>
      <c r="C6" s="1">
        <v>1.93</v>
      </c>
      <c r="D6" s="1">
        <v>2.37</v>
      </c>
      <c r="E6" s="1">
        <v>0.396666666666667</v>
      </c>
    </row>
    <row r="7" spans="1:5">
      <c r="A7" t="s">
        <v>20</v>
      </c>
      <c r="B7" s="1">
        <v>0.65900000000000003</v>
      </c>
      <c r="C7" s="1">
        <v>1.83</v>
      </c>
      <c r="D7" s="1">
        <v>2.39</v>
      </c>
      <c r="E7" s="1">
        <v>0.395666666666667</v>
      </c>
    </row>
    <row r="8" spans="1:5">
      <c r="A8" t="s">
        <v>86</v>
      </c>
      <c r="B8" s="1">
        <v>0.66100000000000003</v>
      </c>
      <c r="C8" s="1">
        <v>1.73</v>
      </c>
      <c r="D8" s="1">
        <v>2.41</v>
      </c>
      <c r="E8" s="1">
        <v>0.394666666666667</v>
      </c>
    </row>
    <row r="9" spans="1:5">
      <c r="A9" t="s">
        <v>87</v>
      </c>
      <c r="B9" s="1">
        <v>0.66300000000000003</v>
      </c>
      <c r="C9" s="1">
        <v>1.63</v>
      </c>
      <c r="D9" s="1">
        <v>2.4300000000000002</v>
      </c>
      <c r="E9" s="1">
        <v>0.393666666666667</v>
      </c>
    </row>
    <row r="10" spans="1:5">
      <c r="A10" t="s">
        <v>93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5">
      <c r="A11" t="s">
        <v>94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5">
      <c r="A12" t="s">
        <v>95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5">
      <c r="A13" t="s">
        <v>96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BD16-7469-4617-BCEB-FC6E2FB95D9A}">
  <sheetPr codeName="Sheet8">
    <tabColor rgb="FFFFFF00"/>
  </sheetPr>
  <dimension ref="A1:J33"/>
  <sheetViews>
    <sheetView zoomScaleNormal="100" workbookViewId="0"/>
  </sheetViews>
  <sheetFormatPr defaultRowHeight="18.75"/>
  <sheetData>
    <row r="1" spans="1:10">
      <c r="A1" t="s">
        <v>121</v>
      </c>
    </row>
    <row r="4" spans="1:10">
      <c r="A4" t="s">
        <v>205</v>
      </c>
    </row>
    <row r="5" spans="1:10">
      <c r="B5" t="s">
        <v>123</v>
      </c>
    </row>
    <row r="6" spans="1:10">
      <c r="A6" t="s">
        <v>124</v>
      </c>
      <c r="B6" t="s">
        <v>297</v>
      </c>
      <c r="C6" t="s">
        <v>298</v>
      </c>
      <c r="D6" t="s">
        <v>299</v>
      </c>
      <c r="E6" t="s">
        <v>300</v>
      </c>
      <c r="F6" t="s">
        <v>301</v>
      </c>
      <c r="G6" t="s">
        <v>302</v>
      </c>
      <c r="H6" t="s">
        <v>303</v>
      </c>
      <c r="I6" t="s">
        <v>304</v>
      </c>
      <c r="J6" t="s">
        <v>305</v>
      </c>
    </row>
    <row r="7" spans="1:10">
      <c r="A7">
        <v>5200000000000</v>
      </c>
      <c r="B7">
        <v>0.64900000000000002</v>
      </c>
      <c r="F7">
        <v>0.65500000000000003</v>
      </c>
      <c r="G7">
        <v>0.66300000000000003</v>
      </c>
      <c r="J7">
        <v>0.66900000000000004</v>
      </c>
    </row>
    <row r="8" spans="1:10">
      <c r="A8">
        <v>5300000000000</v>
      </c>
      <c r="B8">
        <v>0.65100000000000002</v>
      </c>
      <c r="F8">
        <v>0.65700000000000003</v>
      </c>
      <c r="G8">
        <v>0.66500000000000004</v>
      </c>
    </row>
    <row r="9" spans="1:10">
      <c r="A9">
        <v>5400000000000</v>
      </c>
      <c r="B9">
        <v>0.65300000000000002</v>
      </c>
      <c r="F9">
        <v>0.66100000000000003</v>
      </c>
      <c r="G9">
        <v>0.66700000000000004</v>
      </c>
    </row>
    <row r="12" spans="1:10">
      <c r="A12" t="s">
        <v>206</v>
      </c>
    </row>
    <row r="13" spans="1:10">
      <c r="B13" t="s">
        <v>123</v>
      </c>
    </row>
    <row r="14" spans="1:10">
      <c r="A14" t="s">
        <v>124</v>
      </c>
      <c r="B14" t="s">
        <v>297</v>
      </c>
      <c r="C14" t="s">
        <v>298</v>
      </c>
      <c r="D14" t="s">
        <v>299</v>
      </c>
      <c r="E14" t="s">
        <v>300</v>
      </c>
      <c r="F14" t="s">
        <v>301</v>
      </c>
      <c r="G14" t="s">
        <v>302</v>
      </c>
      <c r="H14" t="s">
        <v>303</v>
      </c>
      <c r="I14" t="s">
        <v>304</v>
      </c>
      <c r="J14" t="s">
        <v>305</v>
      </c>
    </row>
    <row r="15" spans="1:10">
      <c r="A15">
        <v>5200000000000</v>
      </c>
      <c r="B15">
        <v>2.33</v>
      </c>
      <c r="F15">
        <v>2.0299999999999998</v>
      </c>
      <c r="G15">
        <v>1.63</v>
      </c>
      <c r="J15">
        <v>1.33</v>
      </c>
    </row>
    <row r="16" spans="1:10">
      <c r="A16">
        <v>5300000000000</v>
      </c>
      <c r="B16">
        <v>2.23</v>
      </c>
      <c r="F16">
        <v>1.93</v>
      </c>
      <c r="G16">
        <v>1.53</v>
      </c>
    </row>
    <row r="17" spans="1:10">
      <c r="A17">
        <v>5400000000000</v>
      </c>
      <c r="B17">
        <v>2.13</v>
      </c>
      <c r="F17">
        <v>1.73</v>
      </c>
      <c r="G17">
        <v>1.43</v>
      </c>
    </row>
    <row r="20" spans="1:10">
      <c r="A20" t="s">
        <v>207</v>
      </c>
    </row>
    <row r="21" spans="1:10">
      <c r="B21" t="s">
        <v>123</v>
      </c>
    </row>
    <row r="22" spans="1:10">
      <c r="A22" t="s">
        <v>124</v>
      </c>
      <c r="B22" t="s">
        <v>297</v>
      </c>
      <c r="C22" t="s">
        <v>298</v>
      </c>
      <c r="D22" t="s">
        <v>299</v>
      </c>
      <c r="E22" t="s">
        <v>300</v>
      </c>
      <c r="F22" t="s">
        <v>301</v>
      </c>
      <c r="G22" t="s">
        <v>302</v>
      </c>
      <c r="H22" t="s">
        <v>303</v>
      </c>
      <c r="I22" t="s">
        <v>304</v>
      </c>
      <c r="J22" t="s">
        <v>305</v>
      </c>
    </row>
    <row r="23" spans="1:10">
      <c r="A23">
        <v>5200000000000</v>
      </c>
      <c r="B23">
        <v>2.29</v>
      </c>
      <c r="F23">
        <v>2.35</v>
      </c>
      <c r="G23">
        <v>2.4300000000000002</v>
      </c>
      <c r="J23">
        <v>2.4900000000000002</v>
      </c>
    </row>
    <row r="24" spans="1:10">
      <c r="A24">
        <v>5300000000000</v>
      </c>
      <c r="B24">
        <v>2.31</v>
      </c>
      <c r="F24">
        <v>2.37</v>
      </c>
      <c r="G24">
        <v>2.4500000000000002</v>
      </c>
    </row>
    <row r="25" spans="1:10">
      <c r="A25">
        <v>5400000000000</v>
      </c>
      <c r="B25">
        <v>2.33</v>
      </c>
      <c r="F25">
        <v>2.41</v>
      </c>
      <c r="G25">
        <v>2.4700000000000002</v>
      </c>
    </row>
    <row r="28" spans="1:10">
      <c r="A28" t="s">
        <v>208</v>
      </c>
    </row>
    <row r="29" spans="1:10">
      <c r="B29" t="s">
        <v>123</v>
      </c>
    </row>
    <row r="30" spans="1:10">
      <c r="A30" t="s">
        <v>124</v>
      </c>
      <c r="B30" t="s">
        <v>297</v>
      </c>
      <c r="C30" t="s">
        <v>298</v>
      </c>
      <c r="D30" t="s">
        <v>299</v>
      </c>
      <c r="E30" t="s">
        <v>300</v>
      </c>
      <c r="F30" t="s">
        <v>301</v>
      </c>
      <c r="G30" t="s">
        <v>302</v>
      </c>
      <c r="H30" t="s">
        <v>303</v>
      </c>
      <c r="I30" t="s">
        <v>304</v>
      </c>
      <c r="J30" t="s">
        <v>305</v>
      </c>
    </row>
    <row r="31" spans="1:10">
      <c r="A31">
        <v>5200000000000</v>
      </c>
      <c r="B31">
        <v>0.4</v>
      </c>
      <c r="F31">
        <v>0.397666666666667</v>
      </c>
      <c r="G31">
        <v>0.393666666666667</v>
      </c>
      <c r="J31">
        <v>0.390666666666667</v>
      </c>
    </row>
    <row r="32" spans="1:10">
      <c r="A32">
        <v>5300000000000</v>
      </c>
      <c r="B32">
        <v>0.40100000000000002</v>
      </c>
      <c r="F32">
        <v>0.396666666666667</v>
      </c>
      <c r="G32">
        <v>0.392666666666667</v>
      </c>
    </row>
    <row r="33" spans="1:7">
      <c r="A33">
        <v>5400000000000</v>
      </c>
      <c r="B33">
        <v>0.39800000000000002</v>
      </c>
      <c r="F33">
        <v>0.394666666666667</v>
      </c>
      <c r="G33">
        <v>0.391666666666667</v>
      </c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B8C39-A0B2-4977-BEF0-B26521343857}">
  <sheetPr codeName="Sheet9"/>
  <dimension ref="A1:E29"/>
  <sheetViews>
    <sheetView workbookViewId="0">
      <selection activeCell="A13" sqref="A13"/>
    </sheetView>
  </sheetViews>
  <sheetFormatPr defaultRowHeight="18.75"/>
  <cols>
    <col min="1" max="16384" width="9" style="13"/>
  </cols>
  <sheetData>
    <row r="1" spans="1:5">
      <c r="A1" s="13" t="s">
        <v>219</v>
      </c>
    </row>
    <row r="2" spans="1:5">
      <c r="A2" s="13" t="s">
        <v>142</v>
      </c>
    </row>
    <row r="3" spans="1:5">
      <c r="A3" s="13" t="s">
        <v>143</v>
      </c>
    </row>
    <row r="4" spans="1:5">
      <c r="A4" s="13" t="s">
        <v>220</v>
      </c>
    </row>
    <row r="6" spans="1:5">
      <c r="B6" s="5" t="s">
        <v>21</v>
      </c>
      <c r="C6" s="5" t="s">
        <v>27</v>
      </c>
      <c r="D6" s="5" t="s">
        <v>82</v>
      </c>
      <c r="E6" s="5" t="s">
        <v>28</v>
      </c>
    </row>
    <row r="7" spans="1:5">
      <c r="B7" t="s">
        <v>69</v>
      </c>
      <c r="C7" t="s">
        <v>30</v>
      </c>
      <c r="D7" t="s">
        <v>29</v>
      </c>
      <c r="E7" t="s">
        <v>33</v>
      </c>
    </row>
    <row r="8" spans="1:5">
      <c r="A8" s="13" t="s">
        <v>115</v>
      </c>
      <c r="B8" t="s">
        <v>71</v>
      </c>
      <c r="C8" t="s">
        <v>35</v>
      </c>
      <c r="D8" t="s">
        <v>36</v>
      </c>
      <c r="E8" t="s">
        <v>34</v>
      </c>
    </row>
    <row r="9" spans="1:5">
      <c r="B9" t="s">
        <v>73</v>
      </c>
      <c r="C9" t="s">
        <v>35</v>
      </c>
      <c r="D9" t="s">
        <v>37</v>
      </c>
      <c r="E9" t="s">
        <v>34</v>
      </c>
    </row>
    <row r="10" spans="1:5">
      <c r="A10" s="13" t="s">
        <v>115</v>
      </c>
      <c r="B10" t="s">
        <v>7</v>
      </c>
      <c r="C10" t="s">
        <v>35</v>
      </c>
      <c r="D10" t="s">
        <v>38</v>
      </c>
      <c r="E10" t="s">
        <v>79</v>
      </c>
    </row>
    <row r="11" spans="1:5">
      <c r="B11" t="s">
        <v>31</v>
      </c>
      <c r="C11" t="s">
        <v>35</v>
      </c>
      <c r="D11" t="s">
        <v>39</v>
      </c>
      <c r="E11" t="s">
        <v>80</v>
      </c>
    </row>
    <row r="12" spans="1:5">
      <c r="B12" t="s">
        <v>32</v>
      </c>
      <c r="C12" t="s">
        <v>35</v>
      </c>
      <c r="D12" t="s">
        <v>40</v>
      </c>
      <c r="E12" t="s">
        <v>81</v>
      </c>
    </row>
    <row r="13" spans="1:5">
      <c r="A13" s="13" t="s">
        <v>115</v>
      </c>
      <c r="B13" s="20" t="s">
        <v>5</v>
      </c>
      <c r="C13" t="s">
        <v>30</v>
      </c>
      <c r="D13" t="s">
        <v>41</v>
      </c>
      <c r="E13" t="s">
        <v>33</v>
      </c>
    </row>
    <row r="14" spans="1:5">
      <c r="B14" t="s">
        <v>76</v>
      </c>
      <c r="C14" t="s">
        <v>24</v>
      </c>
      <c r="D14" t="s">
        <v>42</v>
      </c>
      <c r="E14" t="s">
        <v>33</v>
      </c>
    </row>
    <row r="15" spans="1:5">
      <c r="B15" t="s">
        <v>77</v>
      </c>
      <c r="C15" t="s">
        <v>35</v>
      </c>
      <c r="D15" t="s">
        <v>78</v>
      </c>
      <c r="E15" t="s">
        <v>33</v>
      </c>
    </row>
    <row r="16" spans="1:5">
      <c r="A16" s="13" t="s">
        <v>115</v>
      </c>
      <c r="B16" t="s">
        <v>75</v>
      </c>
      <c r="C16" t="s">
        <v>119</v>
      </c>
      <c r="D16" t="s">
        <v>29</v>
      </c>
      <c r="E16" t="s">
        <v>119</v>
      </c>
    </row>
    <row r="17" spans="1:5">
      <c r="A17" s="13" t="s">
        <v>115</v>
      </c>
      <c r="B17" t="s">
        <v>76</v>
      </c>
      <c r="C17" t="s">
        <v>240</v>
      </c>
      <c r="D17" t="s">
        <v>92</v>
      </c>
      <c r="E17" t="s">
        <v>253</v>
      </c>
    </row>
    <row r="18" spans="1:5">
      <c r="A18" s="13" t="s">
        <v>115</v>
      </c>
      <c r="B18" t="s">
        <v>228</v>
      </c>
      <c r="C18" t="s">
        <v>241</v>
      </c>
      <c r="D18" t="s">
        <v>37</v>
      </c>
      <c r="E18" t="s">
        <v>253</v>
      </c>
    </row>
    <row r="19" spans="1:5">
      <c r="A19" s="13" t="s">
        <v>115</v>
      </c>
      <c r="B19" t="s">
        <v>229</v>
      </c>
      <c r="C19" t="s">
        <v>242</v>
      </c>
      <c r="D19" t="s">
        <v>38</v>
      </c>
      <c r="E19" t="s">
        <v>253</v>
      </c>
    </row>
    <row r="20" spans="1:5">
      <c r="A20" s="13" t="s">
        <v>115</v>
      </c>
      <c r="B20" t="s">
        <v>230</v>
      </c>
      <c r="C20" t="s">
        <v>243</v>
      </c>
      <c r="D20" t="s">
        <v>39</v>
      </c>
      <c r="E20" t="s">
        <v>253</v>
      </c>
    </row>
    <row r="21" spans="1:5">
      <c r="A21" s="13" t="s">
        <v>115</v>
      </c>
      <c r="B21" t="s">
        <v>231</v>
      </c>
      <c r="C21" t="s">
        <v>244</v>
      </c>
      <c r="D21" t="s">
        <v>40</v>
      </c>
      <c r="E21" t="s">
        <v>253</v>
      </c>
    </row>
    <row r="22" spans="1:5">
      <c r="A22" s="13" t="s">
        <v>115</v>
      </c>
      <c r="B22" t="s">
        <v>232</v>
      </c>
      <c r="C22" t="s">
        <v>245</v>
      </c>
      <c r="D22" t="s">
        <v>41</v>
      </c>
      <c r="E22" t="s">
        <v>253</v>
      </c>
    </row>
    <row r="23" spans="1:5">
      <c r="A23" s="13" t="s">
        <v>115</v>
      </c>
      <c r="B23" t="s">
        <v>233</v>
      </c>
      <c r="C23" t="s">
        <v>246</v>
      </c>
      <c r="D23" t="s">
        <v>223</v>
      </c>
      <c r="E23" t="s">
        <v>253</v>
      </c>
    </row>
    <row r="24" spans="1:5">
      <c r="A24" s="13" t="s">
        <v>115</v>
      </c>
      <c r="B24" t="s">
        <v>234</v>
      </c>
      <c r="C24" t="s">
        <v>247</v>
      </c>
      <c r="D24" t="s">
        <v>224</v>
      </c>
      <c r="E24" t="s">
        <v>253</v>
      </c>
    </row>
    <row r="25" spans="1:5">
      <c r="A25" s="13" t="s">
        <v>115</v>
      </c>
      <c r="B25" t="s">
        <v>235</v>
      </c>
      <c r="C25" t="s">
        <v>248</v>
      </c>
      <c r="D25" t="s">
        <v>42</v>
      </c>
      <c r="E25" t="s">
        <v>253</v>
      </c>
    </row>
    <row r="26" spans="1:5">
      <c r="A26" s="13" t="s">
        <v>115</v>
      </c>
      <c r="B26" t="s">
        <v>236</v>
      </c>
      <c r="C26" t="s">
        <v>249</v>
      </c>
      <c r="D26" t="s">
        <v>78</v>
      </c>
      <c r="E26" t="s">
        <v>253</v>
      </c>
    </row>
    <row r="27" spans="1:5">
      <c r="A27" s="13" t="s">
        <v>115</v>
      </c>
      <c r="B27" t="s">
        <v>237</v>
      </c>
      <c r="C27" t="s">
        <v>250</v>
      </c>
      <c r="D27" t="s">
        <v>225</v>
      </c>
      <c r="E27" t="s">
        <v>253</v>
      </c>
    </row>
    <row r="28" spans="1:5">
      <c r="A28" s="13" t="s">
        <v>115</v>
      </c>
      <c r="B28" t="s">
        <v>238</v>
      </c>
      <c r="C28" t="s">
        <v>251</v>
      </c>
      <c r="D28" t="s">
        <v>226</v>
      </c>
      <c r="E28" t="s">
        <v>253</v>
      </c>
    </row>
    <row r="29" spans="1:5">
      <c r="A29" s="13" t="s">
        <v>115</v>
      </c>
      <c r="B29" t="s">
        <v>239</v>
      </c>
      <c r="C29" t="s">
        <v>252</v>
      </c>
      <c r="D29" t="s">
        <v>227</v>
      </c>
      <c r="E29" t="s">
        <v>253</v>
      </c>
    </row>
  </sheetData>
  <phoneticPr fontId="1"/>
  <dataValidations count="1">
    <dataValidation type="list" allowBlank="1" showInputMessage="1" showErrorMessage="1" sqref="A6:A29" xr:uid="{5FF161D3-4C9A-40E0-BE51-3AE37B6AEB8F}">
      <formula1>"　,レ"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DC15E-B365-4B0D-A036-D623756169AF}">
  <sheetPr codeName="Sheet10">
    <tabColor rgb="FFFFFF00"/>
  </sheetPr>
  <dimension ref="A1:E33"/>
  <sheetViews>
    <sheetView zoomScaleNormal="100" workbookViewId="0">
      <selection activeCell="C13" sqref="C13"/>
    </sheetView>
  </sheetViews>
  <sheetFormatPr defaultRowHeight="18.75"/>
  <sheetData>
    <row r="1" spans="1:5">
      <c r="A1" t="s">
        <v>121</v>
      </c>
    </row>
    <row r="4" spans="1:5">
      <c r="A4" t="s">
        <v>122</v>
      </c>
    </row>
    <row r="5" spans="1:5">
      <c r="B5" t="s">
        <v>123</v>
      </c>
    </row>
    <row r="6" spans="1:5">
      <c r="A6" t="s">
        <v>124</v>
      </c>
      <c r="B6" t="s">
        <v>131</v>
      </c>
      <c r="C6" t="s">
        <v>132</v>
      </c>
      <c r="D6" t="s">
        <v>133</v>
      </c>
      <c r="E6" t="s">
        <v>134</v>
      </c>
    </row>
    <row r="7" spans="1:5">
      <c r="A7">
        <v>5200000000000</v>
      </c>
      <c r="B7">
        <v>0.64900000000000002</v>
      </c>
      <c r="E7">
        <v>0.65500000000000003</v>
      </c>
    </row>
    <row r="8" spans="1:5">
      <c r="A8">
        <v>5300000000000</v>
      </c>
      <c r="B8">
        <v>0.65100000000000002</v>
      </c>
      <c r="E8">
        <v>0.65700000000000003</v>
      </c>
    </row>
    <row r="9" spans="1:5">
      <c r="A9">
        <v>5400000000000</v>
      </c>
      <c r="B9">
        <v>0.65300000000000002</v>
      </c>
      <c r="E9">
        <v>0.66100000000000003</v>
      </c>
    </row>
    <row r="12" spans="1:5">
      <c r="A12" t="s">
        <v>125</v>
      </c>
    </row>
    <row r="13" spans="1:5">
      <c r="B13" t="s">
        <v>123</v>
      </c>
    </row>
    <row r="14" spans="1:5">
      <c r="A14" t="s">
        <v>124</v>
      </c>
      <c r="B14" t="s">
        <v>131</v>
      </c>
      <c r="C14" t="s">
        <v>132</v>
      </c>
      <c r="D14" t="s">
        <v>133</v>
      </c>
      <c r="E14" t="s">
        <v>134</v>
      </c>
    </row>
    <row r="15" spans="1:5">
      <c r="A15">
        <v>5200000000000</v>
      </c>
      <c r="B15">
        <v>2.33</v>
      </c>
      <c r="E15">
        <v>2.0299999999999998</v>
      </c>
    </row>
    <row r="16" spans="1:5">
      <c r="A16">
        <v>5300000000000</v>
      </c>
      <c r="B16">
        <v>2.23</v>
      </c>
      <c r="E16">
        <v>1.93</v>
      </c>
    </row>
    <row r="17" spans="1:5">
      <c r="A17">
        <v>5400000000000</v>
      </c>
      <c r="B17">
        <v>2.13</v>
      </c>
      <c r="E17">
        <v>1.73</v>
      </c>
    </row>
    <row r="20" spans="1:5">
      <c r="A20" t="s">
        <v>126</v>
      </c>
    </row>
    <row r="21" spans="1:5">
      <c r="B21" t="s">
        <v>123</v>
      </c>
    </row>
    <row r="22" spans="1:5">
      <c r="A22" t="s">
        <v>124</v>
      </c>
      <c r="B22" t="s">
        <v>131</v>
      </c>
      <c r="C22" t="s">
        <v>132</v>
      </c>
      <c r="D22" t="s">
        <v>133</v>
      </c>
      <c r="E22" t="s">
        <v>134</v>
      </c>
    </row>
    <row r="23" spans="1:5">
      <c r="A23">
        <v>5200000000000</v>
      </c>
      <c r="B23">
        <v>2.29</v>
      </c>
      <c r="E23">
        <v>2.35</v>
      </c>
    </row>
    <row r="24" spans="1:5">
      <c r="A24">
        <v>5300000000000</v>
      </c>
      <c r="B24">
        <v>2.31</v>
      </c>
      <c r="E24">
        <v>2.37</v>
      </c>
    </row>
    <row r="25" spans="1:5">
      <c r="A25">
        <v>5400000000000</v>
      </c>
      <c r="B25">
        <v>2.33</v>
      </c>
      <c r="E25">
        <v>2.41</v>
      </c>
    </row>
    <row r="28" spans="1:5">
      <c r="A28" t="s">
        <v>127</v>
      </c>
    </row>
    <row r="29" spans="1:5">
      <c r="B29" t="s">
        <v>123</v>
      </c>
    </row>
    <row r="30" spans="1:5">
      <c r="A30" t="s">
        <v>124</v>
      </c>
      <c r="B30" t="s">
        <v>131</v>
      </c>
      <c r="C30" t="s">
        <v>132</v>
      </c>
      <c r="D30" t="s">
        <v>133</v>
      </c>
      <c r="E30" t="s">
        <v>134</v>
      </c>
    </row>
    <row r="31" spans="1:5">
      <c r="A31">
        <v>5200000000000</v>
      </c>
      <c r="B31">
        <v>0.4</v>
      </c>
      <c r="E31">
        <v>0.397666666666667</v>
      </c>
    </row>
    <row r="32" spans="1:5">
      <c r="A32">
        <v>5300000000000</v>
      </c>
      <c r="B32">
        <v>0.40100000000000002</v>
      </c>
      <c r="E32">
        <v>0.396666666666667</v>
      </c>
    </row>
    <row r="33" spans="1:5">
      <c r="A33">
        <v>5400000000000</v>
      </c>
      <c r="B33">
        <v>0.39800000000000002</v>
      </c>
      <c r="E33">
        <v>0.394666666666667</v>
      </c>
    </row>
  </sheetData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C8A5C-8EA9-4670-88CE-415799336B5D}">
  <sheetPr codeName="Sheet3"/>
  <dimension ref="B1:P17"/>
  <sheetViews>
    <sheetView topLeftCell="B1" zoomScale="70" zoomScaleNormal="70" workbookViewId="0">
      <selection activeCell="H15" sqref="H15"/>
    </sheetView>
  </sheetViews>
  <sheetFormatPr defaultRowHeight="18.75"/>
  <cols>
    <col min="3" max="4" width="9.5" bestFit="1" customWidth="1"/>
    <col min="5" max="5" width="10" bestFit="1" customWidth="1"/>
    <col min="6" max="6" width="18" bestFit="1" customWidth="1"/>
    <col min="7" max="7" width="19.75" bestFit="1" customWidth="1"/>
    <col min="10" max="10" width="13.5" customWidth="1"/>
    <col min="11" max="11" width="10.875" bestFit="1" customWidth="1"/>
    <col min="12" max="12" width="18" bestFit="1" customWidth="1"/>
    <col min="13" max="13" width="19.75" bestFit="1" customWidth="1"/>
    <col min="14" max="14" width="18.125" bestFit="1" customWidth="1"/>
  </cols>
  <sheetData>
    <row r="1" spans="2:16">
      <c r="B1" t="s">
        <v>57</v>
      </c>
      <c r="H1" t="s">
        <v>60</v>
      </c>
      <c r="L1" s="6" t="s">
        <v>56</v>
      </c>
      <c r="M1" s="6" t="s">
        <v>56</v>
      </c>
      <c r="N1" s="6" t="s">
        <v>56</v>
      </c>
    </row>
    <row r="2" spans="2:16">
      <c r="B2" t="s">
        <v>44</v>
      </c>
      <c r="C2" t="s">
        <v>46</v>
      </c>
      <c r="D2" t="s">
        <v>48</v>
      </c>
      <c r="E2" s="6" t="s">
        <v>49</v>
      </c>
      <c r="F2" s="6" t="s">
        <v>89</v>
      </c>
      <c r="K2" s="8" t="s">
        <v>49</v>
      </c>
      <c r="L2" s="8" t="s">
        <v>58</v>
      </c>
      <c r="M2" s="8" t="s">
        <v>59</v>
      </c>
      <c r="N2" s="8" t="s">
        <v>61</v>
      </c>
    </row>
    <row r="3" spans="2:16">
      <c r="B3" t="s">
        <v>51</v>
      </c>
      <c r="C3" s="1">
        <v>1000000000000</v>
      </c>
      <c r="D3" s="1">
        <v>3000000000000</v>
      </c>
      <c r="E3" s="6">
        <v>5340000000000</v>
      </c>
      <c r="F3" s="7">
        <v>1.38</v>
      </c>
      <c r="J3" t="s">
        <v>62</v>
      </c>
      <c r="K3" s="10">
        <v>5290000000000</v>
      </c>
      <c r="L3" s="2"/>
      <c r="M3" s="10">
        <v>1</v>
      </c>
      <c r="N3" s="10"/>
    </row>
    <row r="4" spans="2:16">
      <c r="B4" t="s">
        <v>53</v>
      </c>
      <c r="C4" s="1">
        <v>1000000000000</v>
      </c>
      <c r="D4" s="1">
        <v>3000000000000</v>
      </c>
      <c r="E4" s="6">
        <v>5390000000000</v>
      </c>
      <c r="F4" s="7">
        <v>1.41</v>
      </c>
      <c r="K4" s="8">
        <v>5340000000000</v>
      </c>
      <c r="L4" s="9">
        <v>1.38</v>
      </c>
      <c r="M4" s="8">
        <v>2.35</v>
      </c>
      <c r="N4" s="8">
        <v>3.31</v>
      </c>
    </row>
    <row r="5" spans="2:16">
      <c r="B5" t="s">
        <v>55</v>
      </c>
      <c r="C5" s="1">
        <v>1000000000000</v>
      </c>
      <c r="D5" s="1">
        <v>3000000000000</v>
      </c>
      <c r="E5" s="6">
        <v>5440000000000</v>
      </c>
      <c r="F5" s="7">
        <v>1.36</v>
      </c>
      <c r="J5" s="11"/>
      <c r="K5" s="8">
        <v>5390000000000</v>
      </c>
      <c r="L5" s="9">
        <v>1.41</v>
      </c>
      <c r="M5" s="8">
        <v>2.38</v>
      </c>
      <c r="N5" s="8">
        <v>3.34</v>
      </c>
    </row>
    <row r="6" spans="2:16">
      <c r="C6" s="1"/>
      <c r="D6" s="1"/>
      <c r="E6" s="1"/>
      <c r="F6" s="1"/>
      <c r="K6" s="8">
        <v>5440000000000</v>
      </c>
      <c r="L6" s="9">
        <v>1.36</v>
      </c>
      <c r="M6" s="8">
        <v>2.41</v>
      </c>
      <c r="N6" s="8">
        <v>3.37</v>
      </c>
    </row>
    <row r="7" spans="2:16">
      <c r="B7" t="s">
        <v>57</v>
      </c>
      <c r="J7" t="s">
        <v>62</v>
      </c>
      <c r="K7" s="10">
        <v>5490000000000</v>
      </c>
      <c r="L7" s="2"/>
      <c r="M7" s="10">
        <v>1.5</v>
      </c>
      <c r="N7" s="10">
        <v>6</v>
      </c>
      <c r="O7" s="12">
        <v>6</v>
      </c>
    </row>
    <row r="8" spans="2:16">
      <c r="B8" t="s">
        <v>43</v>
      </c>
      <c r="C8" t="s">
        <v>45</v>
      </c>
      <c r="D8" t="s">
        <v>47</v>
      </c>
      <c r="E8" s="6" t="s">
        <v>49</v>
      </c>
      <c r="F8" s="6" t="s">
        <v>89</v>
      </c>
      <c r="J8" t="s">
        <v>62</v>
      </c>
      <c r="K8" s="10">
        <v>5540000000000</v>
      </c>
      <c r="L8" s="2"/>
      <c r="M8" s="10"/>
      <c r="N8" s="10">
        <v>5</v>
      </c>
    </row>
    <row r="9" spans="2:16">
      <c r="B9" t="s">
        <v>50</v>
      </c>
      <c r="C9">
        <v>1500000000000</v>
      </c>
      <c r="D9">
        <v>3000000000000</v>
      </c>
      <c r="E9" s="6">
        <v>5340000000000</v>
      </c>
      <c r="F9" s="6">
        <v>2.35</v>
      </c>
    </row>
    <row r="10" spans="2:16">
      <c r="B10" t="s">
        <v>52</v>
      </c>
      <c r="C10">
        <v>1500000000000</v>
      </c>
      <c r="D10">
        <v>3000000000000</v>
      </c>
      <c r="E10" s="6">
        <v>5390000000000</v>
      </c>
      <c r="F10" s="6">
        <v>2.38</v>
      </c>
    </row>
    <row r="11" spans="2:16">
      <c r="B11" t="s">
        <v>54</v>
      </c>
      <c r="C11">
        <v>1500000000000</v>
      </c>
      <c r="D11">
        <v>3000000000000</v>
      </c>
      <c r="E11" s="6">
        <v>5440000000000</v>
      </c>
      <c r="F11" s="6">
        <v>2.41</v>
      </c>
      <c r="J11" s="11"/>
      <c r="P11" t="s">
        <v>88</v>
      </c>
    </row>
    <row r="12" spans="2:16">
      <c r="P12" t="s">
        <v>90</v>
      </c>
    </row>
    <row r="13" spans="2:16">
      <c r="B13" t="s">
        <v>57</v>
      </c>
      <c r="P13" s="14" t="s">
        <v>67</v>
      </c>
    </row>
    <row r="14" spans="2:16">
      <c r="B14" t="s">
        <v>43</v>
      </c>
      <c r="C14" t="s">
        <v>45</v>
      </c>
      <c r="D14" t="s">
        <v>47</v>
      </c>
      <c r="E14" s="6" t="s">
        <v>49</v>
      </c>
      <c r="F14" s="6" t="s">
        <v>89</v>
      </c>
      <c r="P14" s="14" t="s">
        <v>68</v>
      </c>
    </row>
    <row r="15" spans="2:16">
      <c r="B15" t="s">
        <v>50</v>
      </c>
      <c r="C15">
        <v>2000000000000</v>
      </c>
      <c r="D15">
        <v>3000000000000</v>
      </c>
      <c r="E15" s="6">
        <v>5340000000000</v>
      </c>
      <c r="F15" s="6">
        <v>3.31</v>
      </c>
      <c r="P15" s="14" t="s">
        <v>70</v>
      </c>
    </row>
    <row r="16" spans="2:16">
      <c r="B16" t="s">
        <v>52</v>
      </c>
      <c r="C16">
        <v>2000000000000</v>
      </c>
      <c r="D16">
        <v>3000000000000</v>
      </c>
      <c r="E16" s="6">
        <v>5390000000000</v>
      </c>
      <c r="F16" s="6">
        <v>3.34</v>
      </c>
      <c r="P16" s="14" t="s">
        <v>72</v>
      </c>
    </row>
    <row r="17" spans="2:16">
      <c r="B17" t="s">
        <v>54</v>
      </c>
      <c r="C17">
        <v>2000000000000</v>
      </c>
      <c r="D17">
        <v>3000000000000</v>
      </c>
      <c r="E17" s="6">
        <v>5440000000000</v>
      </c>
      <c r="F17" s="6">
        <v>3.37</v>
      </c>
      <c r="P17" s="14" t="s">
        <v>74</v>
      </c>
    </row>
  </sheetData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B1C0-E6A5-4465-A72E-66955F7FC1AA}">
  <sheetPr codeName="Sheet2"/>
  <dimension ref="A1:P13"/>
  <sheetViews>
    <sheetView workbookViewId="0">
      <selection sqref="A1:E13"/>
    </sheetView>
  </sheetViews>
  <sheetFormatPr defaultRowHeight="18.75"/>
  <sheetData>
    <row r="1" spans="1:16">
      <c r="A1" s="5" t="s">
        <v>21</v>
      </c>
      <c r="B1" t="s">
        <v>69</v>
      </c>
      <c r="C1" t="s">
        <v>7</v>
      </c>
      <c r="D1" s="20" t="s">
        <v>5</v>
      </c>
      <c r="E1" t="s">
        <v>83</v>
      </c>
      <c r="L1" s="27" t="s">
        <v>116</v>
      </c>
    </row>
    <row r="2" spans="1:16">
      <c r="A2" t="s">
        <v>15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16">
      <c r="A3" t="s">
        <v>16</v>
      </c>
      <c r="B3" s="1">
        <v>0.65100000000000002</v>
      </c>
      <c r="C3" s="1">
        <v>2.23</v>
      </c>
      <c r="D3" s="1">
        <v>2.31</v>
      </c>
      <c r="E3" s="1">
        <v>0.40100000000000002</v>
      </c>
      <c r="L3" t="s">
        <v>101</v>
      </c>
    </row>
    <row r="4" spans="1:16">
      <c r="A4" t="s">
        <v>17</v>
      </c>
      <c r="B4" s="1">
        <v>0.65300000000000002</v>
      </c>
      <c r="C4" s="1">
        <v>2.13</v>
      </c>
      <c r="D4" s="1">
        <v>2.33</v>
      </c>
      <c r="E4" s="1">
        <v>0.39800000000000002</v>
      </c>
      <c r="L4" t="s">
        <v>102</v>
      </c>
    </row>
    <row r="5" spans="1:16">
      <c r="A5" t="s">
        <v>18</v>
      </c>
      <c r="B5" s="1">
        <v>0.65500000000000003</v>
      </c>
      <c r="C5" s="1">
        <v>2.0299999999999998</v>
      </c>
      <c r="D5" s="1">
        <v>2.35</v>
      </c>
      <c r="E5" s="1">
        <v>0.397666666666667</v>
      </c>
      <c r="L5" t="s">
        <v>63</v>
      </c>
      <c r="M5" t="s">
        <v>97</v>
      </c>
      <c r="N5" t="s">
        <v>98</v>
      </c>
      <c r="O5" t="s">
        <v>99</v>
      </c>
      <c r="P5" t="s">
        <v>100</v>
      </c>
    </row>
    <row r="6" spans="1:16">
      <c r="A6" t="s">
        <v>19</v>
      </c>
      <c r="B6" s="1">
        <v>0.65700000000000003</v>
      </c>
      <c r="C6" s="1">
        <v>1.93</v>
      </c>
      <c r="D6" s="1">
        <v>2.37</v>
      </c>
      <c r="E6" s="1">
        <v>0.396666666666667</v>
      </c>
      <c r="L6">
        <v>5200000000000</v>
      </c>
      <c r="M6">
        <v>0.64900000000000002</v>
      </c>
      <c r="N6">
        <v>0.65500000000000003</v>
      </c>
      <c r="O6">
        <v>0.66300000000000003</v>
      </c>
      <c r="P6">
        <v>0.66900000000000004</v>
      </c>
    </row>
    <row r="7" spans="1:16">
      <c r="A7" t="s">
        <v>20</v>
      </c>
      <c r="B7" s="1">
        <v>0.65900000000000003</v>
      </c>
      <c r="C7" s="1">
        <v>1.83</v>
      </c>
      <c r="D7" s="1">
        <v>2.39</v>
      </c>
      <c r="E7" s="1">
        <v>0.395666666666667</v>
      </c>
      <c r="L7">
        <v>5300000000000</v>
      </c>
      <c r="M7">
        <v>0.65100000000000002</v>
      </c>
      <c r="N7">
        <v>0.65700000000000003</v>
      </c>
      <c r="O7">
        <v>0.66500000000000004</v>
      </c>
      <c r="P7">
        <v>0.67100000000000004</v>
      </c>
    </row>
    <row r="8" spans="1:16">
      <c r="A8" t="s">
        <v>86</v>
      </c>
      <c r="B8" s="1">
        <v>0.66100000000000003</v>
      </c>
      <c r="C8" s="1">
        <v>1.73</v>
      </c>
      <c r="D8" s="1">
        <v>2.41</v>
      </c>
      <c r="E8" s="1">
        <v>0.394666666666667</v>
      </c>
      <c r="L8">
        <v>5400000000000</v>
      </c>
      <c r="M8">
        <v>0.65300000000000002</v>
      </c>
      <c r="N8">
        <v>0.65900000000000003</v>
      </c>
      <c r="O8">
        <v>0.66700000000000004</v>
      </c>
    </row>
    <row r="9" spans="1:16">
      <c r="A9" t="s">
        <v>87</v>
      </c>
      <c r="B9" s="1">
        <v>0.66300000000000003</v>
      </c>
      <c r="C9" s="1">
        <v>1.63</v>
      </c>
      <c r="D9" s="1">
        <v>2.4300000000000002</v>
      </c>
      <c r="E9" s="1">
        <v>0.393666666666667</v>
      </c>
      <c r="L9">
        <v>5500000000000</v>
      </c>
      <c r="N9">
        <v>0.66100000000000003</v>
      </c>
    </row>
    <row r="10" spans="1:16">
      <c r="A10" t="s">
        <v>93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16">
      <c r="A11" t="s">
        <v>94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16">
      <c r="A12" t="s">
        <v>95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16">
      <c r="A13" t="s">
        <v>96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27918-E64A-47FA-9B44-B992A114FFB7}">
  <sheetPr codeName="Sheet12"/>
  <dimension ref="A1:I13"/>
  <sheetViews>
    <sheetView workbookViewId="0">
      <selection sqref="A1:I13"/>
    </sheetView>
  </sheetViews>
  <sheetFormatPr defaultRowHeight="18.75"/>
  <sheetData>
    <row r="1" spans="1:9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</row>
    <row r="2" spans="1:9">
      <c r="A2" s="2" t="s">
        <v>265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</row>
    <row r="3" spans="1:9">
      <c r="A3" s="2" t="s">
        <v>266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</row>
    <row r="4" spans="1:9">
      <c r="A4" s="2" t="s">
        <v>267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</row>
    <row r="5" spans="1:9">
      <c r="A5" s="2" t="s">
        <v>268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</row>
    <row r="6" spans="1:9">
      <c r="A6" s="2" t="s">
        <v>269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</row>
    <row r="7" spans="1:9">
      <c r="A7" s="2" t="s">
        <v>270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</row>
    <row r="8" spans="1:9">
      <c r="A8" s="2" t="s">
        <v>271</v>
      </c>
      <c r="B8" s="4">
        <v>1200000000000</v>
      </c>
      <c r="C8" s="1">
        <v>200000000000</v>
      </c>
      <c r="D8" s="2">
        <v>1</v>
      </c>
      <c r="E8" s="22">
        <v>5400000000000</v>
      </c>
      <c r="F8" s="2">
        <v>1</v>
      </c>
      <c r="G8" s="23">
        <v>330000000000</v>
      </c>
      <c r="H8" s="39">
        <v>-1.3</v>
      </c>
      <c r="I8" s="2">
        <v>2</v>
      </c>
    </row>
    <row r="9" spans="1:9">
      <c r="A9" s="2" t="s">
        <v>272</v>
      </c>
      <c r="B9" s="4">
        <v>1300000000000</v>
      </c>
      <c r="C9" s="24">
        <v>300000000000</v>
      </c>
      <c r="D9" s="2">
        <v>1</v>
      </c>
      <c r="E9" s="1">
        <v>5200000000000</v>
      </c>
      <c r="F9" s="18">
        <v>2</v>
      </c>
      <c r="G9" s="23">
        <v>330000000000</v>
      </c>
      <c r="H9" s="39">
        <v>-1.3</v>
      </c>
      <c r="I9" s="2">
        <v>2</v>
      </c>
    </row>
    <row r="10" spans="1:9">
      <c r="A10" s="2" t="s">
        <v>273</v>
      </c>
      <c r="B10" s="4">
        <v>1300000000000</v>
      </c>
      <c r="C10" s="24">
        <v>300000000000</v>
      </c>
      <c r="D10" s="2">
        <v>1</v>
      </c>
      <c r="E10" s="21">
        <v>5300000000000</v>
      </c>
      <c r="F10" s="19">
        <v>3</v>
      </c>
      <c r="G10" s="23">
        <v>330000000000</v>
      </c>
      <c r="H10" s="39">
        <v>-1.3</v>
      </c>
      <c r="I10" s="2">
        <v>2</v>
      </c>
    </row>
    <row r="11" spans="1:9">
      <c r="A11" s="2" t="s">
        <v>274</v>
      </c>
      <c r="B11" s="4">
        <v>1300000000000</v>
      </c>
      <c r="C11" s="24">
        <v>300000000000</v>
      </c>
      <c r="D11" s="2">
        <v>1</v>
      </c>
      <c r="E11" s="26">
        <v>5400000000000</v>
      </c>
      <c r="F11" s="2">
        <v>1</v>
      </c>
      <c r="G11" s="23">
        <v>330000000000</v>
      </c>
      <c r="H11" s="39">
        <v>-1.3</v>
      </c>
      <c r="I11" s="2">
        <v>2</v>
      </c>
    </row>
    <row r="12" spans="1:9">
      <c r="A12" s="2" t="s">
        <v>275</v>
      </c>
      <c r="B12" s="4">
        <v>1300000000000</v>
      </c>
      <c r="C12" s="24">
        <v>300000000000</v>
      </c>
      <c r="D12" s="2">
        <v>1</v>
      </c>
      <c r="E12" s="1">
        <v>5200000000000</v>
      </c>
      <c r="F12" s="18">
        <v>2</v>
      </c>
      <c r="G12" s="25">
        <v>360000000000</v>
      </c>
      <c r="H12" s="39">
        <v>-1.3</v>
      </c>
      <c r="I12" s="2">
        <v>2</v>
      </c>
    </row>
    <row r="13" spans="1:9">
      <c r="A13" s="2" t="s">
        <v>276</v>
      </c>
      <c r="B13" s="4">
        <v>1400000000000</v>
      </c>
      <c r="C13" s="24">
        <v>300000000000</v>
      </c>
      <c r="D13" s="2">
        <v>1</v>
      </c>
      <c r="E13" s="21">
        <v>5300000000000</v>
      </c>
      <c r="F13" s="19">
        <v>3</v>
      </c>
      <c r="G13" s="25">
        <v>360000000000</v>
      </c>
      <c r="H13" s="39">
        <v>-1.3</v>
      </c>
      <c r="I13" s="2">
        <v>2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38CFD-C901-4C2B-B0DF-05D15B8FD5F1}">
  <sheetPr codeName="Sheet7"/>
  <dimension ref="A1:F16"/>
  <sheetViews>
    <sheetView workbookViewId="0">
      <selection activeCell="A5" sqref="A5:XFD5"/>
    </sheetView>
  </sheetViews>
  <sheetFormatPr defaultRowHeight="18.75"/>
  <sheetData>
    <row r="1" spans="1:6">
      <c r="A1" t="s">
        <v>209</v>
      </c>
      <c r="B1" t="s">
        <v>118</v>
      </c>
      <c r="C1" t="s">
        <v>118</v>
      </c>
      <c r="D1" t="s">
        <v>24</v>
      </c>
      <c r="E1" t="s">
        <v>24</v>
      </c>
      <c r="F1" t="s">
        <v>119</v>
      </c>
    </row>
    <row r="2" spans="1:6">
      <c r="A2" t="s">
        <v>210</v>
      </c>
      <c r="B2" t="s">
        <v>36</v>
      </c>
      <c r="C2" t="s">
        <v>38</v>
      </c>
      <c r="D2" t="s">
        <v>41</v>
      </c>
      <c r="E2" t="s">
        <v>42</v>
      </c>
      <c r="F2" t="s">
        <v>214</v>
      </c>
    </row>
    <row r="3" spans="1:6">
      <c r="A3" t="s">
        <v>212</v>
      </c>
      <c r="B3" t="s">
        <v>217</v>
      </c>
      <c r="C3" t="s">
        <v>218</v>
      </c>
      <c r="D3" t="s">
        <v>213</v>
      </c>
      <c r="E3" t="s">
        <v>213</v>
      </c>
      <c r="F3" t="s">
        <v>119</v>
      </c>
    </row>
    <row r="4" spans="1:6">
      <c r="A4" t="s">
        <v>211</v>
      </c>
      <c r="B4" t="s">
        <v>70</v>
      </c>
      <c r="C4" t="s">
        <v>74</v>
      </c>
      <c r="D4" t="s">
        <v>84</v>
      </c>
      <c r="E4" t="s">
        <v>215</v>
      </c>
      <c r="F4" t="s">
        <v>216</v>
      </c>
    </row>
    <row r="5" spans="1:6">
      <c r="A5" t="s">
        <v>15</v>
      </c>
      <c r="B5">
        <v>6.1600000000000002E-2</v>
      </c>
      <c r="C5">
        <v>2.33</v>
      </c>
      <c r="D5">
        <v>2.29</v>
      </c>
      <c r="E5">
        <v>0.2</v>
      </c>
      <c r="F5">
        <v>0.38</v>
      </c>
    </row>
    <row r="6" spans="1:6">
      <c r="A6" t="s">
        <v>16</v>
      </c>
      <c r="B6">
        <v>6.1800000000000001E-2</v>
      </c>
      <c r="C6">
        <v>2.23</v>
      </c>
      <c r="D6">
        <v>2.31</v>
      </c>
      <c r="E6">
        <v>0.2</v>
      </c>
      <c r="F6">
        <v>0.38</v>
      </c>
    </row>
    <row r="7" spans="1:6">
      <c r="A7" t="s">
        <v>17</v>
      </c>
      <c r="B7">
        <v>6.2E-2</v>
      </c>
      <c r="C7">
        <v>2.13</v>
      </c>
      <c r="D7">
        <v>2.33</v>
      </c>
      <c r="E7">
        <v>0.2</v>
      </c>
      <c r="F7">
        <v>0.38</v>
      </c>
    </row>
    <row r="8" spans="1:6">
      <c r="A8" t="s">
        <v>18</v>
      </c>
      <c r="B8">
        <v>6.2199999999999998E-2</v>
      </c>
      <c r="C8">
        <v>2.0299999999999998</v>
      </c>
      <c r="D8">
        <v>2.35</v>
      </c>
      <c r="E8">
        <v>0.2</v>
      </c>
      <c r="F8">
        <v>0.38</v>
      </c>
    </row>
    <row r="9" spans="1:6">
      <c r="A9" t="s">
        <v>19</v>
      </c>
      <c r="B9">
        <v>6.2399999999999997E-2</v>
      </c>
      <c r="C9">
        <v>1.93</v>
      </c>
      <c r="D9">
        <v>2.37</v>
      </c>
      <c r="E9">
        <v>0.2</v>
      </c>
      <c r="F9">
        <v>0.38</v>
      </c>
    </row>
    <row r="10" spans="1:6">
      <c r="A10" t="s">
        <v>20</v>
      </c>
      <c r="B10">
        <v>6.2600000000000003E-2</v>
      </c>
      <c r="C10">
        <v>1.83</v>
      </c>
      <c r="D10">
        <v>2.39</v>
      </c>
      <c r="E10">
        <v>0.2</v>
      </c>
      <c r="F10">
        <v>0.38</v>
      </c>
    </row>
    <row r="11" spans="1:6">
      <c r="A11" t="s">
        <v>86</v>
      </c>
      <c r="B11">
        <v>6.2799999999999995E-2</v>
      </c>
      <c r="C11">
        <v>1.73</v>
      </c>
      <c r="D11">
        <v>2.41</v>
      </c>
      <c r="E11">
        <v>0.2</v>
      </c>
      <c r="F11">
        <v>0.38</v>
      </c>
    </row>
    <row r="12" spans="1:6">
      <c r="A12" t="s">
        <v>87</v>
      </c>
      <c r="B12">
        <v>6.3E-2</v>
      </c>
      <c r="C12">
        <v>1.63</v>
      </c>
      <c r="D12">
        <v>2.4300000000000002</v>
      </c>
      <c r="E12">
        <v>0.2</v>
      </c>
      <c r="F12">
        <v>0.38</v>
      </c>
    </row>
    <row r="13" spans="1:6">
      <c r="A13" t="s">
        <v>93</v>
      </c>
      <c r="B13">
        <v>6.3200000000000006E-2</v>
      </c>
      <c r="C13">
        <v>1.53</v>
      </c>
      <c r="D13">
        <v>2.4500000000000002</v>
      </c>
      <c r="E13">
        <v>0.2</v>
      </c>
      <c r="F13">
        <v>0.38</v>
      </c>
    </row>
    <row r="14" spans="1:6">
      <c r="A14" t="s">
        <v>94</v>
      </c>
      <c r="B14">
        <v>6.3399999999999998E-2</v>
      </c>
      <c r="C14">
        <v>1.43</v>
      </c>
      <c r="D14">
        <v>2.4700000000000002</v>
      </c>
      <c r="E14">
        <v>0.2</v>
      </c>
      <c r="F14">
        <v>0.38</v>
      </c>
    </row>
    <row r="15" spans="1:6">
      <c r="A15" t="s">
        <v>95</v>
      </c>
      <c r="B15">
        <v>6.3600000000000004E-2</v>
      </c>
      <c r="C15">
        <v>1.33</v>
      </c>
      <c r="D15">
        <v>2.4900000000000002</v>
      </c>
      <c r="E15">
        <v>0.2</v>
      </c>
      <c r="F15">
        <v>0.38</v>
      </c>
    </row>
    <row r="16" spans="1:6">
      <c r="A16" t="s">
        <v>96</v>
      </c>
      <c r="B16">
        <v>6.3799999999999996E-2</v>
      </c>
      <c r="C16">
        <v>1.23</v>
      </c>
      <c r="D16">
        <v>2.5099999999999998</v>
      </c>
      <c r="E16">
        <v>0.2</v>
      </c>
      <c r="F16">
        <v>0.38</v>
      </c>
    </row>
  </sheetData>
  <phoneticPr fontId="1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C6B0-7556-4CD8-840C-3293D6E60027}">
  <sheetPr codeName="Sheet4"/>
  <dimension ref="A1:AD12"/>
  <sheetViews>
    <sheetView zoomScale="70" zoomScaleNormal="70" workbookViewId="0">
      <selection activeCell="E3" sqref="E3:J7"/>
    </sheetView>
  </sheetViews>
  <sheetFormatPr defaultRowHeight="18.75"/>
  <sheetData>
    <row r="1" spans="1:30">
      <c r="A1" t="s">
        <v>135</v>
      </c>
      <c r="D1" t="s">
        <v>120</v>
      </c>
      <c r="N1" t="s">
        <v>144</v>
      </c>
      <c r="T1" t="s">
        <v>306</v>
      </c>
      <c r="AC1" t="s">
        <v>307</v>
      </c>
      <c r="AD1" t="s">
        <v>308</v>
      </c>
    </row>
    <row r="2" spans="1:30">
      <c r="A2" t="s">
        <v>113</v>
      </c>
    </row>
    <row r="3" spans="1:30">
      <c r="A3" t="s">
        <v>104</v>
      </c>
      <c r="D3" t="s">
        <v>113</v>
      </c>
      <c r="E3" t="s">
        <v>104</v>
      </c>
      <c r="F3" t="s">
        <v>106</v>
      </c>
      <c r="G3" t="s">
        <v>107</v>
      </c>
      <c r="H3" t="s">
        <v>108</v>
      </c>
      <c r="I3" t="s">
        <v>109</v>
      </c>
      <c r="N3" t="s">
        <v>84</v>
      </c>
      <c r="O3" t="s">
        <v>24</v>
      </c>
      <c r="T3" t="s">
        <v>113</v>
      </c>
      <c r="U3" t="s">
        <v>104</v>
      </c>
      <c r="V3" t="s">
        <v>107</v>
      </c>
      <c r="W3" t="s">
        <v>108</v>
      </c>
      <c r="X3" t="s">
        <v>109</v>
      </c>
      <c r="AC3" t="s">
        <v>113</v>
      </c>
      <c r="AD3" t="s">
        <v>108</v>
      </c>
    </row>
    <row r="4" spans="1:30">
      <c r="A4" t="s">
        <v>106</v>
      </c>
      <c r="D4">
        <v>1100000000000</v>
      </c>
      <c r="E4">
        <v>200000000000</v>
      </c>
      <c r="F4">
        <v>5200000000000</v>
      </c>
      <c r="G4">
        <v>1</v>
      </c>
      <c r="H4">
        <v>311000000000</v>
      </c>
      <c r="I4">
        <v>-1.1000000000000001</v>
      </c>
      <c r="N4" t="s">
        <v>68</v>
      </c>
      <c r="O4" t="s">
        <v>24</v>
      </c>
      <c r="T4">
        <v>3</v>
      </c>
      <c r="U4">
        <v>0</v>
      </c>
      <c r="V4">
        <v>0</v>
      </c>
      <c r="W4">
        <v>3</v>
      </c>
      <c r="X4">
        <v>0</v>
      </c>
      <c r="AC4">
        <v>1100000000000</v>
      </c>
      <c r="AD4">
        <v>311000000000</v>
      </c>
    </row>
    <row r="5" spans="1:30">
      <c r="A5" t="s">
        <v>107</v>
      </c>
      <c r="D5">
        <v>1200000000000</v>
      </c>
      <c r="E5">
        <v>300000000000</v>
      </c>
      <c r="F5">
        <v>5300000000000</v>
      </c>
      <c r="G5">
        <v>2</v>
      </c>
      <c r="H5">
        <v>330000000000</v>
      </c>
      <c r="I5">
        <v>-1.2</v>
      </c>
      <c r="N5" t="s">
        <v>70</v>
      </c>
      <c r="O5" t="s">
        <v>24</v>
      </c>
      <c r="T5">
        <v>1100000000000</v>
      </c>
      <c r="W5">
        <v>311000000000</v>
      </c>
      <c r="AC5">
        <v>1200000000000</v>
      </c>
      <c r="AD5">
        <v>311000000000</v>
      </c>
    </row>
    <row r="6" spans="1:30">
      <c r="A6" t="s">
        <v>108</v>
      </c>
      <c r="D6">
        <v>1300000000000</v>
      </c>
      <c r="F6">
        <v>5400000000000</v>
      </c>
      <c r="G6">
        <v>3</v>
      </c>
      <c r="H6">
        <v>360000000000</v>
      </c>
      <c r="I6">
        <v>-1.3</v>
      </c>
      <c r="N6" t="s">
        <v>74</v>
      </c>
      <c r="O6" t="s">
        <v>118</v>
      </c>
      <c r="T6">
        <v>1200000000000</v>
      </c>
      <c r="W6">
        <v>330000000000</v>
      </c>
      <c r="AC6">
        <v>1300000000000</v>
      </c>
      <c r="AD6">
        <v>311000000000</v>
      </c>
    </row>
    <row r="7" spans="1:30">
      <c r="A7" t="s">
        <v>109</v>
      </c>
      <c r="D7">
        <v>1400000000000</v>
      </c>
      <c r="N7" t="s">
        <v>85</v>
      </c>
      <c r="O7" t="s">
        <v>119</v>
      </c>
      <c r="T7">
        <v>1300000000000</v>
      </c>
      <c r="W7">
        <v>360000000000</v>
      </c>
      <c r="AC7">
        <v>1100000000000</v>
      </c>
      <c r="AD7">
        <v>330000000000</v>
      </c>
    </row>
    <row r="8" spans="1:30">
      <c r="AC8">
        <v>1200000000000</v>
      </c>
      <c r="AD8">
        <v>330000000000</v>
      </c>
    </row>
    <row r="9" spans="1:30">
      <c r="AC9">
        <v>1300000000000</v>
      </c>
      <c r="AD9">
        <v>330000000000</v>
      </c>
    </row>
    <row r="10" spans="1:30">
      <c r="A10" t="s">
        <v>222</v>
      </c>
      <c r="AC10">
        <v>1100000000000</v>
      </c>
      <c r="AD10">
        <v>360000000000</v>
      </c>
    </row>
    <row r="11" spans="1:30">
      <c r="A11">
        <v>3</v>
      </c>
      <c r="AC11">
        <v>1200000000000</v>
      </c>
      <c r="AD11">
        <v>360000000000</v>
      </c>
    </row>
    <row r="12" spans="1:30">
      <c r="AC12">
        <v>1300000000000</v>
      </c>
      <c r="AD12">
        <v>360000000000</v>
      </c>
    </row>
  </sheetData>
  <phoneticPr fontId="1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B22F4-061B-4B56-9EF3-63EC1027303D}">
  <sheetPr codeName="Sheet13"/>
  <dimension ref="A1:AB34"/>
  <sheetViews>
    <sheetView zoomScale="70" zoomScaleNormal="70" workbookViewId="0">
      <selection activeCell="E1" sqref="E1:P16"/>
    </sheetView>
  </sheetViews>
  <sheetFormatPr defaultRowHeight="18.75"/>
  <sheetData>
    <row r="1" spans="1:19">
      <c r="B1" t="s">
        <v>194</v>
      </c>
      <c r="C1" t="s">
        <v>194</v>
      </c>
      <c r="D1" t="s">
        <v>193</v>
      </c>
      <c r="E1" s="5" t="s">
        <v>27</v>
      </c>
      <c r="F1" t="s">
        <v>197</v>
      </c>
      <c r="G1" t="s">
        <v>196</v>
      </c>
      <c r="H1" t="s">
        <v>195</v>
      </c>
      <c r="I1" t="s">
        <v>309</v>
      </c>
      <c r="L1" t="s">
        <v>310</v>
      </c>
    </row>
    <row r="2" spans="1:19">
      <c r="A2" s="2" t="s">
        <v>12</v>
      </c>
      <c r="B2" s="2" t="s">
        <v>103</v>
      </c>
      <c r="C2" s="2" t="s">
        <v>108</v>
      </c>
      <c r="D2" s="2" t="s">
        <v>106</v>
      </c>
      <c r="E2" s="5" t="s">
        <v>82</v>
      </c>
      <c r="F2" t="s">
        <v>29</v>
      </c>
      <c r="G2" t="s">
        <v>38</v>
      </c>
      <c r="H2" t="s">
        <v>41</v>
      </c>
      <c r="I2" t="s">
        <v>92</v>
      </c>
    </row>
    <row r="3" spans="1:19">
      <c r="A3" s="2" t="s">
        <v>191</v>
      </c>
      <c r="B3" s="38" t="s">
        <v>114</v>
      </c>
      <c r="C3" s="38" t="s">
        <v>114</v>
      </c>
      <c r="D3" s="38" t="s">
        <v>114</v>
      </c>
      <c r="E3" s="5" t="s">
        <v>21</v>
      </c>
      <c r="F3" t="s">
        <v>69</v>
      </c>
      <c r="G3" t="s">
        <v>7</v>
      </c>
      <c r="H3" s="20" t="s">
        <v>5</v>
      </c>
      <c r="I3" t="s">
        <v>83</v>
      </c>
      <c r="L3" t="s">
        <v>198</v>
      </c>
      <c r="M3" t="s">
        <v>194</v>
      </c>
      <c r="N3" t="s">
        <v>194</v>
      </c>
      <c r="O3" t="s">
        <v>193</v>
      </c>
      <c r="P3" t="s">
        <v>199</v>
      </c>
      <c r="Q3" t="s">
        <v>200</v>
      </c>
      <c r="R3" t="s">
        <v>201</v>
      </c>
      <c r="S3" t="s">
        <v>202</v>
      </c>
    </row>
    <row r="4" spans="1:19">
      <c r="A4" s="2" t="s">
        <v>192</v>
      </c>
      <c r="B4" s="38" t="s">
        <v>114</v>
      </c>
      <c r="C4" s="38" t="s">
        <v>114</v>
      </c>
      <c r="D4" s="38" t="s">
        <v>114</v>
      </c>
      <c r="E4" s="5" t="s">
        <v>28</v>
      </c>
      <c r="F4" t="s">
        <v>33</v>
      </c>
      <c r="G4" t="s">
        <v>79</v>
      </c>
      <c r="H4" t="s">
        <v>33</v>
      </c>
      <c r="I4" t="s">
        <v>119</v>
      </c>
      <c r="L4" t="s">
        <v>203</v>
      </c>
      <c r="M4" t="s">
        <v>113</v>
      </c>
      <c r="N4" t="s">
        <v>108</v>
      </c>
      <c r="O4" t="s">
        <v>106</v>
      </c>
      <c r="P4" t="s">
        <v>68</v>
      </c>
      <c r="Q4" t="s">
        <v>74</v>
      </c>
      <c r="R4" t="s">
        <v>84</v>
      </c>
      <c r="S4" t="s">
        <v>85</v>
      </c>
    </row>
    <row r="5" spans="1:19">
      <c r="A5" s="2" t="s">
        <v>265</v>
      </c>
      <c r="B5" s="1">
        <v>1100000000000</v>
      </c>
      <c r="C5">
        <v>311000000000</v>
      </c>
      <c r="D5" s="1">
        <v>5200000000000</v>
      </c>
      <c r="E5" t="s">
        <v>15</v>
      </c>
      <c r="F5" s="1">
        <v>0.64900000000000002</v>
      </c>
      <c r="G5" s="1">
        <v>2.33</v>
      </c>
      <c r="H5" s="1">
        <v>2.29</v>
      </c>
      <c r="I5" s="1">
        <v>0.4</v>
      </c>
      <c r="L5" t="s">
        <v>15</v>
      </c>
      <c r="M5">
        <v>1100000000000</v>
      </c>
      <c r="N5">
        <v>311000000000</v>
      </c>
      <c r="O5">
        <v>5200000000000</v>
      </c>
      <c r="P5">
        <v>0.64900000000000002</v>
      </c>
      <c r="Q5">
        <v>2.33</v>
      </c>
      <c r="R5">
        <v>2.29</v>
      </c>
      <c r="S5">
        <v>0.4</v>
      </c>
    </row>
    <row r="6" spans="1:19">
      <c r="A6" s="2" t="s">
        <v>266</v>
      </c>
      <c r="B6" s="1">
        <v>1100000000000</v>
      </c>
      <c r="C6">
        <v>311000000000</v>
      </c>
      <c r="D6" s="21">
        <v>5300000000000</v>
      </c>
      <c r="E6" t="s">
        <v>16</v>
      </c>
      <c r="F6" s="1">
        <v>0.65100000000000002</v>
      </c>
      <c r="G6" s="1">
        <v>2.23</v>
      </c>
      <c r="H6" s="1">
        <v>2.31</v>
      </c>
      <c r="I6" s="1">
        <v>0.40100000000000002</v>
      </c>
      <c r="L6" t="s">
        <v>16</v>
      </c>
      <c r="M6">
        <v>1100000000000</v>
      </c>
      <c r="N6">
        <v>311000000000</v>
      </c>
      <c r="O6">
        <v>5300000000000</v>
      </c>
      <c r="P6">
        <v>0.65100000000000002</v>
      </c>
      <c r="Q6">
        <v>2.23</v>
      </c>
      <c r="R6">
        <v>2.31</v>
      </c>
      <c r="S6">
        <v>0.40100000000000002</v>
      </c>
    </row>
    <row r="7" spans="1:19">
      <c r="A7" s="2" t="s">
        <v>267</v>
      </c>
      <c r="B7" s="1">
        <v>1100000000000</v>
      </c>
      <c r="C7">
        <v>311000000000</v>
      </c>
      <c r="D7" s="26">
        <v>5400000000000</v>
      </c>
      <c r="E7" t="s">
        <v>17</v>
      </c>
      <c r="F7" s="1">
        <v>0.65300000000000002</v>
      </c>
      <c r="G7" s="1">
        <v>2.13</v>
      </c>
      <c r="H7" s="1">
        <v>2.33</v>
      </c>
      <c r="I7" s="1">
        <v>0.39800000000000002</v>
      </c>
      <c r="L7" t="s">
        <v>17</v>
      </c>
      <c r="M7">
        <v>1100000000000</v>
      </c>
      <c r="N7">
        <v>311000000000</v>
      </c>
      <c r="O7">
        <v>5400000000000</v>
      </c>
      <c r="P7">
        <v>0.65300000000000002</v>
      </c>
      <c r="Q7">
        <v>2.13</v>
      </c>
      <c r="R7">
        <v>2.33</v>
      </c>
      <c r="S7">
        <v>0.39800000000000002</v>
      </c>
    </row>
    <row r="8" spans="1:19">
      <c r="A8" s="2" t="s">
        <v>268</v>
      </c>
      <c r="B8" s="4">
        <v>1200000000000</v>
      </c>
      <c r="C8" s="23">
        <v>330000000000</v>
      </c>
      <c r="D8" s="1">
        <v>5200000000000</v>
      </c>
      <c r="E8" t="s">
        <v>18</v>
      </c>
      <c r="F8" s="1">
        <v>0.65500000000000003</v>
      </c>
      <c r="G8" s="1">
        <v>2.0299999999999998</v>
      </c>
      <c r="H8" s="1">
        <v>2.35</v>
      </c>
      <c r="I8" s="1">
        <v>0.397666666666667</v>
      </c>
      <c r="L8" t="s">
        <v>18</v>
      </c>
      <c r="M8">
        <v>1200000000000</v>
      </c>
      <c r="N8">
        <v>330000000000</v>
      </c>
      <c r="O8">
        <v>5200000000000</v>
      </c>
      <c r="P8">
        <v>0.65500000000000003</v>
      </c>
      <c r="Q8">
        <v>2.0299999999999998</v>
      </c>
      <c r="R8">
        <v>2.35</v>
      </c>
      <c r="S8">
        <v>0.397666666666667</v>
      </c>
    </row>
    <row r="9" spans="1:19">
      <c r="A9" s="2" t="s">
        <v>269</v>
      </c>
      <c r="B9" s="4">
        <v>1200000000000</v>
      </c>
      <c r="C9" s="23">
        <v>330000000000</v>
      </c>
      <c r="D9" s="21">
        <v>5300000000000</v>
      </c>
      <c r="E9" t="s">
        <v>19</v>
      </c>
      <c r="F9" s="1">
        <v>0.65700000000000003</v>
      </c>
      <c r="G9" s="1">
        <v>1.93</v>
      </c>
      <c r="H9" s="1">
        <v>2.37</v>
      </c>
      <c r="I9" s="1">
        <v>0.396666666666667</v>
      </c>
      <c r="L9" t="s">
        <v>19</v>
      </c>
      <c r="M9">
        <v>1200000000000</v>
      </c>
      <c r="N9">
        <v>330000000000</v>
      </c>
      <c r="O9">
        <v>5300000000000</v>
      </c>
      <c r="P9">
        <v>0.65700000000000003</v>
      </c>
      <c r="Q9">
        <v>1.93</v>
      </c>
      <c r="R9">
        <v>2.37</v>
      </c>
      <c r="S9">
        <v>0.396666666666667</v>
      </c>
    </row>
    <row r="10" spans="1:19">
      <c r="A10" s="2" t="s">
        <v>270</v>
      </c>
      <c r="B10" s="4">
        <v>1200000000000</v>
      </c>
      <c r="C10" s="23">
        <v>330000000000</v>
      </c>
      <c r="D10" s="26">
        <v>5400000000000</v>
      </c>
      <c r="E10" t="s">
        <v>20</v>
      </c>
      <c r="F10" s="1">
        <v>0.65900000000000003</v>
      </c>
      <c r="G10" s="1">
        <v>1.83</v>
      </c>
      <c r="H10" s="1">
        <v>2.39</v>
      </c>
      <c r="I10" s="1">
        <v>0.395666666666667</v>
      </c>
      <c r="L10" t="s">
        <v>20</v>
      </c>
      <c r="M10">
        <v>1200000000000</v>
      </c>
      <c r="N10">
        <v>330000000000</v>
      </c>
      <c r="O10">
        <v>5400000000000</v>
      </c>
      <c r="P10">
        <v>0.65900000000000003</v>
      </c>
      <c r="Q10">
        <v>1.83</v>
      </c>
      <c r="R10">
        <v>2.39</v>
      </c>
      <c r="S10">
        <v>0.395666666666667</v>
      </c>
    </row>
    <row r="11" spans="1:19">
      <c r="A11" s="2" t="s">
        <v>271</v>
      </c>
      <c r="B11" s="4">
        <v>1200000000000</v>
      </c>
      <c r="C11" s="23">
        <v>330000000000</v>
      </c>
      <c r="D11" s="22">
        <v>5400000000000</v>
      </c>
      <c r="E11" t="s">
        <v>86</v>
      </c>
      <c r="F11" s="1">
        <v>0.66100000000000003</v>
      </c>
      <c r="G11" s="1">
        <v>1.73</v>
      </c>
      <c r="H11" s="1">
        <v>2.41</v>
      </c>
      <c r="I11" s="1">
        <v>0.394666666666667</v>
      </c>
      <c r="L11" t="s">
        <v>86</v>
      </c>
      <c r="M11">
        <v>1200000000000</v>
      </c>
      <c r="N11">
        <v>330000000000</v>
      </c>
      <c r="O11">
        <v>5400000000000</v>
      </c>
      <c r="P11">
        <v>0.66100000000000003</v>
      </c>
      <c r="Q11">
        <v>1.73</v>
      </c>
      <c r="R11">
        <v>2.41</v>
      </c>
      <c r="S11">
        <v>0.394666666666667</v>
      </c>
    </row>
    <row r="12" spans="1:19">
      <c r="A12" s="2" t="s">
        <v>272</v>
      </c>
      <c r="B12" s="4">
        <v>1300000000000</v>
      </c>
      <c r="C12" s="23">
        <v>330000000000</v>
      </c>
      <c r="D12" s="1">
        <v>5200000000000</v>
      </c>
      <c r="E12" t="s">
        <v>87</v>
      </c>
      <c r="F12" s="1">
        <v>0.66300000000000003</v>
      </c>
      <c r="G12" s="1">
        <v>1.63</v>
      </c>
      <c r="H12" s="1">
        <v>2.4300000000000002</v>
      </c>
      <c r="I12" s="1">
        <v>0.393666666666667</v>
      </c>
      <c r="L12" t="s">
        <v>87</v>
      </c>
      <c r="M12">
        <v>1300000000000</v>
      </c>
      <c r="N12">
        <v>330000000000</v>
      </c>
      <c r="O12">
        <v>5200000000000</v>
      </c>
      <c r="P12">
        <v>0.66300000000000003</v>
      </c>
      <c r="Q12">
        <v>1.63</v>
      </c>
      <c r="R12">
        <v>2.4300000000000002</v>
      </c>
      <c r="S12">
        <v>0.393666666666667</v>
      </c>
    </row>
    <row r="13" spans="1:19">
      <c r="A13" s="2" t="s">
        <v>273</v>
      </c>
      <c r="B13" s="4">
        <v>1300000000000</v>
      </c>
      <c r="C13" s="23">
        <v>330000000000</v>
      </c>
      <c r="D13" s="21">
        <v>5300000000000</v>
      </c>
      <c r="E13" t="s">
        <v>93</v>
      </c>
      <c r="F13" s="1">
        <v>0.66500000000000004</v>
      </c>
      <c r="G13" s="1">
        <v>1.53</v>
      </c>
      <c r="H13" s="1">
        <v>2.4500000000000002</v>
      </c>
      <c r="I13" s="1">
        <v>0.392666666666667</v>
      </c>
      <c r="L13" t="s">
        <v>93</v>
      </c>
      <c r="M13">
        <v>1300000000000</v>
      </c>
      <c r="N13">
        <v>330000000000</v>
      </c>
      <c r="O13">
        <v>5300000000000</v>
      </c>
      <c r="P13">
        <v>0.66500000000000004</v>
      </c>
      <c r="Q13">
        <v>1.53</v>
      </c>
      <c r="R13">
        <v>2.4500000000000002</v>
      </c>
      <c r="S13">
        <v>0.392666666666667</v>
      </c>
    </row>
    <row r="14" spans="1:19">
      <c r="A14" s="2" t="s">
        <v>274</v>
      </c>
      <c r="B14" s="4">
        <v>1300000000000</v>
      </c>
      <c r="C14" s="23">
        <v>330000000000</v>
      </c>
      <c r="D14" s="26">
        <v>5400000000000</v>
      </c>
      <c r="E14" t="s">
        <v>94</v>
      </c>
      <c r="F14" s="1">
        <v>0.66700000000000004</v>
      </c>
      <c r="G14" s="1">
        <v>1.43</v>
      </c>
      <c r="H14" s="1">
        <v>2.4700000000000002</v>
      </c>
      <c r="I14" s="1">
        <v>0.391666666666667</v>
      </c>
      <c r="L14" t="s">
        <v>94</v>
      </c>
      <c r="M14">
        <v>1300000000000</v>
      </c>
      <c r="N14">
        <v>330000000000</v>
      </c>
      <c r="O14">
        <v>5400000000000</v>
      </c>
      <c r="P14">
        <v>0.66700000000000004</v>
      </c>
      <c r="Q14">
        <v>1.43</v>
      </c>
      <c r="R14">
        <v>2.4700000000000002</v>
      </c>
      <c r="S14">
        <v>0.391666666666667</v>
      </c>
    </row>
    <row r="15" spans="1:19">
      <c r="A15" s="2" t="s">
        <v>275</v>
      </c>
      <c r="B15" s="4">
        <v>1300000000000</v>
      </c>
      <c r="C15" s="25">
        <v>360000000000</v>
      </c>
      <c r="D15" s="1">
        <v>5200000000000</v>
      </c>
      <c r="E15" t="s">
        <v>95</v>
      </c>
      <c r="F15" s="1">
        <v>0.66900000000000004</v>
      </c>
      <c r="G15" s="1">
        <v>1.33</v>
      </c>
      <c r="H15" s="1">
        <v>2.4900000000000002</v>
      </c>
      <c r="I15" s="1">
        <v>0.390666666666667</v>
      </c>
      <c r="L15" t="s">
        <v>95</v>
      </c>
      <c r="M15">
        <v>1300000000000</v>
      </c>
      <c r="N15">
        <v>360000000000</v>
      </c>
      <c r="O15">
        <v>5200000000000</v>
      </c>
      <c r="P15">
        <v>0.66900000000000004</v>
      </c>
      <c r="Q15">
        <v>1.33</v>
      </c>
      <c r="R15">
        <v>2.4900000000000002</v>
      </c>
      <c r="S15">
        <v>0.390666666666667</v>
      </c>
    </row>
    <row r="16" spans="1:19">
      <c r="A16" s="2" t="s">
        <v>276</v>
      </c>
      <c r="B16" s="4">
        <v>1400000000000</v>
      </c>
      <c r="C16" s="25">
        <v>360000000000</v>
      </c>
      <c r="D16" s="21">
        <v>5300000000000</v>
      </c>
      <c r="E16" t="s">
        <v>96</v>
      </c>
      <c r="F16" s="1">
        <v>0.67100000000000004</v>
      </c>
      <c r="G16" s="1">
        <v>1.23</v>
      </c>
      <c r="H16" s="1">
        <v>2.5099999999999998</v>
      </c>
      <c r="I16" s="1">
        <v>0.38966666666666699</v>
      </c>
      <c r="L16" t="s">
        <v>96</v>
      </c>
      <c r="M16">
        <v>1400000000000</v>
      </c>
      <c r="N16">
        <v>360000000000</v>
      </c>
      <c r="O16">
        <v>5300000000000</v>
      </c>
      <c r="P16">
        <v>0.67100000000000004</v>
      </c>
      <c r="Q16">
        <v>1.23</v>
      </c>
      <c r="R16">
        <v>2.5099999999999998</v>
      </c>
      <c r="S16">
        <v>0.38966666666666699</v>
      </c>
    </row>
    <row r="21" spans="12:28">
      <c r="L21" t="s">
        <v>198</v>
      </c>
      <c r="M21" t="s">
        <v>194</v>
      </c>
      <c r="N21" t="s">
        <v>194</v>
      </c>
      <c r="O21" t="s">
        <v>193</v>
      </c>
      <c r="P21" t="s">
        <v>199</v>
      </c>
      <c r="Q21" t="s">
        <v>200</v>
      </c>
      <c r="R21" t="s">
        <v>201</v>
      </c>
      <c r="S21" t="s">
        <v>202</v>
      </c>
      <c r="T21" t="s">
        <v>204</v>
      </c>
      <c r="U21" t="s">
        <v>204</v>
      </c>
      <c r="V21" t="s">
        <v>204</v>
      </c>
      <c r="W21" t="s">
        <v>204</v>
      </c>
      <c r="X21" t="s">
        <v>204</v>
      </c>
      <c r="Y21" t="s">
        <v>204</v>
      </c>
      <c r="Z21" t="s">
        <v>204</v>
      </c>
      <c r="AA21" t="s">
        <v>204</v>
      </c>
      <c r="AB21" t="s">
        <v>204</v>
      </c>
    </row>
    <row r="22" spans="12:28">
      <c r="L22" t="s">
        <v>203</v>
      </c>
      <c r="M22" t="s">
        <v>113</v>
      </c>
      <c r="N22" t="s">
        <v>108</v>
      </c>
      <c r="O22" t="s">
        <v>106</v>
      </c>
      <c r="P22" t="s">
        <v>68</v>
      </c>
      <c r="Q22" t="s">
        <v>74</v>
      </c>
      <c r="R22" t="s">
        <v>84</v>
      </c>
      <c r="S22" t="s">
        <v>85</v>
      </c>
      <c r="T22" t="s">
        <v>297</v>
      </c>
      <c r="U22" t="s">
        <v>298</v>
      </c>
      <c r="V22" t="s">
        <v>299</v>
      </c>
      <c r="W22" t="s">
        <v>300</v>
      </c>
      <c r="X22" t="s">
        <v>301</v>
      </c>
      <c r="Y22" t="s">
        <v>302</v>
      </c>
      <c r="Z22" t="s">
        <v>303</v>
      </c>
      <c r="AA22" t="s">
        <v>304</v>
      </c>
      <c r="AB22" t="s">
        <v>305</v>
      </c>
    </row>
    <row r="23" spans="12:28">
      <c r="L23" t="s">
        <v>15</v>
      </c>
      <c r="M23">
        <v>1100000000000</v>
      </c>
      <c r="N23">
        <v>311000000000</v>
      </c>
      <c r="O23">
        <v>5200000000000</v>
      </c>
      <c r="P23">
        <v>0.64900000000000002</v>
      </c>
      <c r="Q23">
        <v>2.33</v>
      </c>
      <c r="R23">
        <v>2.29</v>
      </c>
      <c r="S23">
        <v>0.4</v>
      </c>
      <c r="T23">
        <v>1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</row>
    <row r="24" spans="12:28">
      <c r="L24" t="s">
        <v>16</v>
      </c>
      <c r="M24">
        <v>1100000000000</v>
      </c>
      <c r="N24">
        <v>311000000000</v>
      </c>
      <c r="O24">
        <v>5300000000000</v>
      </c>
      <c r="P24">
        <v>0.65100000000000002</v>
      </c>
      <c r="Q24">
        <v>2.23</v>
      </c>
      <c r="R24">
        <v>2.31</v>
      </c>
      <c r="S24">
        <v>0.40100000000000002</v>
      </c>
      <c r="T24">
        <v>1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</row>
    <row r="25" spans="12:28">
      <c r="L25" t="s">
        <v>17</v>
      </c>
      <c r="M25">
        <v>1100000000000</v>
      </c>
      <c r="N25">
        <v>311000000000</v>
      </c>
      <c r="O25">
        <v>5400000000000</v>
      </c>
      <c r="P25">
        <v>0.65300000000000002</v>
      </c>
      <c r="Q25">
        <v>2.13</v>
      </c>
      <c r="R25">
        <v>2.33</v>
      </c>
      <c r="S25">
        <v>0.39800000000000002</v>
      </c>
      <c r="T25">
        <v>1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</row>
    <row r="26" spans="12:28">
      <c r="L26" t="s">
        <v>18</v>
      </c>
      <c r="M26">
        <v>1200000000000</v>
      </c>
      <c r="N26">
        <v>330000000000</v>
      </c>
      <c r="O26">
        <v>5200000000000</v>
      </c>
      <c r="P26">
        <v>0.65500000000000003</v>
      </c>
      <c r="Q26">
        <v>2.0299999999999998</v>
      </c>
      <c r="R26">
        <v>2.35</v>
      </c>
      <c r="S26">
        <v>0.397666666666667</v>
      </c>
      <c r="T26">
        <v>0</v>
      </c>
      <c r="U26">
        <v>0</v>
      </c>
      <c r="V26">
        <v>0</v>
      </c>
      <c r="W26">
        <v>0</v>
      </c>
      <c r="X26">
        <v>1</v>
      </c>
      <c r="Y26">
        <v>0</v>
      </c>
      <c r="Z26">
        <v>0</v>
      </c>
      <c r="AA26">
        <v>0</v>
      </c>
      <c r="AB26">
        <v>0</v>
      </c>
    </row>
    <row r="27" spans="12:28">
      <c r="L27" t="s">
        <v>19</v>
      </c>
      <c r="M27">
        <v>1200000000000</v>
      </c>
      <c r="N27">
        <v>330000000000</v>
      </c>
      <c r="O27">
        <v>5300000000000</v>
      </c>
      <c r="P27">
        <v>0.65700000000000003</v>
      </c>
      <c r="Q27">
        <v>1.93</v>
      </c>
      <c r="R27">
        <v>2.37</v>
      </c>
      <c r="S27">
        <v>0.396666666666667</v>
      </c>
      <c r="T27">
        <v>0</v>
      </c>
      <c r="U27">
        <v>0</v>
      </c>
      <c r="V27">
        <v>0</v>
      </c>
      <c r="W27">
        <v>0</v>
      </c>
      <c r="X27">
        <v>1</v>
      </c>
      <c r="Y27">
        <v>0</v>
      </c>
      <c r="Z27">
        <v>0</v>
      </c>
      <c r="AA27">
        <v>0</v>
      </c>
      <c r="AB27">
        <v>0</v>
      </c>
    </row>
    <row r="28" spans="12:28">
      <c r="L28" t="s">
        <v>20</v>
      </c>
      <c r="M28">
        <v>1200000000000</v>
      </c>
      <c r="N28">
        <v>330000000000</v>
      </c>
      <c r="O28">
        <v>5400000000000</v>
      </c>
      <c r="P28">
        <v>0.65900000000000003</v>
      </c>
      <c r="Q28">
        <v>1.83</v>
      </c>
      <c r="R28">
        <v>2.39</v>
      </c>
      <c r="S28">
        <v>0.395666666666667</v>
      </c>
      <c r="T28">
        <v>0</v>
      </c>
      <c r="U28">
        <v>0</v>
      </c>
      <c r="V28">
        <v>0</v>
      </c>
      <c r="W28">
        <v>0</v>
      </c>
      <c r="X28">
        <v>1</v>
      </c>
      <c r="Y28">
        <v>0</v>
      </c>
      <c r="Z28">
        <v>0</v>
      </c>
      <c r="AA28">
        <v>0</v>
      </c>
      <c r="AB28">
        <v>0</v>
      </c>
    </row>
    <row r="29" spans="12:28">
      <c r="L29" t="s">
        <v>86</v>
      </c>
      <c r="M29">
        <v>1200000000000</v>
      </c>
      <c r="N29">
        <v>330000000000</v>
      </c>
      <c r="O29">
        <v>5400000000000</v>
      </c>
      <c r="P29">
        <v>0.66100000000000003</v>
      </c>
      <c r="Q29">
        <v>1.73</v>
      </c>
      <c r="R29">
        <v>2.41</v>
      </c>
      <c r="S29">
        <v>0.394666666666667</v>
      </c>
      <c r="T29">
        <v>0</v>
      </c>
      <c r="U29">
        <v>0</v>
      </c>
      <c r="V29">
        <v>0</v>
      </c>
      <c r="W29">
        <v>0</v>
      </c>
      <c r="X29">
        <v>1</v>
      </c>
      <c r="Y29">
        <v>0</v>
      </c>
      <c r="Z29">
        <v>0</v>
      </c>
      <c r="AA29">
        <v>0</v>
      </c>
      <c r="AB29">
        <v>0</v>
      </c>
    </row>
    <row r="30" spans="12:28">
      <c r="L30" t="s">
        <v>87</v>
      </c>
      <c r="M30">
        <v>1300000000000</v>
      </c>
      <c r="N30">
        <v>330000000000</v>
      </c>
      <c r="O30">
        <v>5200000000000</v>
      </c>
      <c r="P30">
        <v>0.66300000000000003</v>
      </c>
      <c r="Q30">
        <v>1.63</v>
      </c>
      <c r="R30">
        <v>2.4300000000000002</v>
      </c>
      <c r="S30">
        <v>0.393666666666667</v>
      </c>
      <c r="T30">
        <v>0</v>
      </c>
      <c r="U30">
        <v>0</v>
      </c>
      <c r="V30">
        <v>0</v>
      </c>
      <c r="W30">
        <v>0</v>
      </c>
      <c r="X30">
        <v>0</v>
      </c>
      <c r="Y30">
        <v>1</v>
      </c>
      <c r="Z30">
        <v>0</v>
      </c>
      <c r="AA30">
        <v>0</v>
      </c>
      <c r="AB30">
        <v>0</v>
      </c>
    </row>
    <row r="31" spans="12:28">
      <c r="L31" t="s">
        <v>93</v>
      </c>
      <c r="M31">
        <v>1300000000000</v>
      </c>
      <c r="N31">
        <v>330000000000</v>
      </c>
      <c r="O31">
        <v>5300000000000</v>
      </c>
      <c r="P31">
        <v>0.66500000000000004</v>
      </c>
      <c r="Q31">
        <v>1.53</v>
      </c>
      <c r="R31">
        <v>2.4500000000000002</v>
      </c>
      <c r="S31">
        <v>0.392666666666667</v>
      </c>
      <c r="T31">
        <v>0</v>
      </c>
      <c r="U31">
        <v>0</v>
      </c>
      <c r="V31">
        <v>0</v>
      </c>
      <c r="W31">
        <v>0</v>
      </c>
      <c r="X31">
        <v>0</v>
      </c>
      <c r="Y31">
        <v>1</v>
      </c>
      <c r="Z31">
        <v>0</v>
      </c>
      <c r="AA31">
        <v>0</v>
      </c>
      <c r="AB31">
        <v>0</v>
      </c>
    </row>
    <row r="32" spans="12:28">
      <c r="L32" t="s">
        <v>94</v>
      </c>
      <c r="M32">
        <v>1300000000000</v>
      </c>
      <c r="N32">
        <v>330000000000</v>
      </c>
      <c r="O32">
        <v>5400000000000</v>
      </c>
      <c r="P32">
        <v>0.66700000000000004</v>
      </c>
      <c r="Q32">
        <v>1.43</v>
      </c>
      <c r="R32">
        <v>2.4700000000000002</v>
      </c>
      <c r="S32">
        <v>0.391666666666667</v>
      </c>
      <c r="T32">
        <v>0</v>
      </c>
      <c r="U32">
        <v>0</v>
      </c>
      <c r="V32">
        <v>0</v>
      </c>
      <c r="W32">
        <v>0</v>
      </c>
      <c r="X32">
        <v>0</v>
      </c>
      <c r="Y32">
        <v>1</v>
      </c>
      <c r="Z32">
        <v>0</v>
      </c>
      <c r="AA32">
        <v>0</v>
      </c>
      <c r="AB32">
        <v>0</v>
      </c>
    </row>
    <row r="33" spans="12:28">
      <c r="L33" t="s">
        <v>95</v>
      </c>
      <c r="M33">
        <v>1300000000000</v>
      </c>
      <c r="N33">
        <v>360000000000</v>
      </c>
      <c r="O33">
        <v>5200000000000</v>
      </c>
      <c r="P33">
        <v>0.66900000000000004</v>
      </c>
      <c r="Q33">
        <v>1.33</v>
      </c>
      <c r="R33">
        <v>2.4900000000000002</v>
      </c>
      <c r="S33">
        <v>0.390666666666667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1</v>
      </c>
    </row>
    <row r="34" spans="12:28">
      <c r="L34" t="s">
        <v>96</v>
      </c>
      <c r="M34">
        <v>1400000000000</v>
      </c>
      <c r="N34">
        <v>360000000000</v>
      </c>
      <c r="O34">
        <v>5300000000000</v>
      </c>
      <c r="P34">
        <v>0.67100000000000004</v>
      </c>
      <c r="Q34">
        <v>1.23</v>
      </c>
      <c r="R34">
        <v>2.5099999999999998</v>
      </c>
      <c r="S34">
        <v>0.38966666666666699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E1556-0A8D-4847-A726-78F3672B500A}">
  <sheetPr codeName="Sheet16"/>
  <dimension ref="A1:Z78"/>
  <sheetViews>
    <sheetView topLeftCell="I1" zoomScale="85" zoomScaleNormal="85" workbookViewId="0">
      <selection activeCell="AA18" sqref="AA18"/>
    </sheetView>
  </sheetViews>
  <sheetFormatPr defaultRowHeight="18.75"/>
  <cols>
    <col min="1" max="1" width="10.25" bestFit="1" customWidth="1"/>
    <col min="2" max="2" width="11.875" bestFit="1" customWidth="1"/>
    <col min="3" max="5" width="11.25" bestFit="1" customWidth="1"/>
    <col min="6" max="6" width="11.375" bestFit="1" customWidth="1"/>
    <col min="7" max="7" width="10.5" bestFit="1" customWidth="1"/>
    <col min="8" max="8" width="10" bestFit="1" customWidth="1"/>
    <col min="9" max="9" width="11.125" bestFit="1" customWidth="1"/>
    <col min="22" max="22" width="10.875" customWidth="1"/>
  </cols>
  <sheetData>
    <row r="1" spans="1:26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  <c r="L1" t="s">
        <v>146</v>
      </c>
      <c r="V1" t="s">
        <v>184</v>
      </c>
      <c r="W1" t="s">
        <v>177</v>
      </c>
      <c r="X1" t="s">
        <v>178</v>
      </c>
    </row>
    <row r="2" spans="1:26">
      <c r="A2" s="2" t="s">
        <v>136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  <c r="L2" t="s">
        <v>174</v>
      </c>
      <c r="T2" t="s">
        <v>175</v>
      </c>
    </row>
    <row r="3" spans="1:26">
      <c r="A3" s="2" t="s">
        <v>137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  <c r="L3" s="5" t="s">
        <v>21</v>
      </c>
      <c r="M3" t="s">
        <v>69</v>
      </c>
      <c r="T3" s="5" t="s">
        <v>21</v>
      </c>
      <c r="U3" t="s">
        <v>69</v>
      </c>
    </row>
    <row r="4" spans="1:26">
      <c r="A4" s="2" t="s">
        <v>138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  <c r="L4" t="s">
        <v>15</v>
      </c>
      <c r="M4" s="1">
        <v>0.64900000000000002</v>
      </c>
      <c r="N4" s="1">
        <v>0.67500000000000004</v>
      </c>
      <c r="T4" t="s">
        <v>15</v>
      </c>
      <c r="U4" s="1">
        <v>0.64900000000000002</v>
      </c>
      <c r="V4" s="1">
        <v>0.65500000000000003</v>
      </c>
      <c r="W4" s="1">
        <v>1.4999999999999999E-2</v>
      </c>
      <c r="X4" s="1">
        <v>0.01</v>
      </c>
      <c r="Z4" t="s">
        <v>181</v>
      </c>
    </row>
    <row r="5" spans="1:26">
      <c r="A5" s="2" t="s">
        <v>139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  <c r="L5" t="s">
        <v>16</v>
      </c>
      <c r="M5" s="1">
        <v>0.65100000000000002</v>
      </c>
      <c r="N5" s="1">
        <v>0.67500000000000004</v>
      </c>
      <c r="T5" t="s">
        <v>16</v>
      </c>
      <c r="U5" s="1">
        <v>0.65100000000000002</v>
      </c>
      <c r="V5" s="1">
        <v>0.65500000000000003</v>
      </c>
      <c r="W5" s="1">
        <v>1.4999999999999999E-2</v>
      </c>
      <c r="X5" s="1">
        <v>0.01</v>
      </c>
      <c r="Z5" t="s">
        <v>182</v>
      </c>
    </row>
    <row r="6" spans="1:26">
      <c r="A6" s="2" t="s">
        <v>140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  <c r="L6" t="s">
        <v>17</v>
      </c>
      <c r="M6" s="1">
        <v>0.65300000000000002</v>
      </c>
      <c r="N6" s="1">
        <v>0.67500000000000004</v>
      </c>
      <c r="T6" t="s">
        <v>17</v>
      </c>
      <c r="U6" s="1">
        <v>0.65300000000000002</v>
      </c>
      <c r="V6" s="1">
        <v>0.65500000000000003</v>
      </c>
      <c r="W6" s="1">
        <v>1.4999999999999999E-2</v>
      </c>
      <c r="X6" s="1">
        <v>0.01</v>
      </c>
      <c r="Z6" t="s">
        <v>183</v>
      </c>
    </row>
    <row r="7" spans="1:26">
      <c r="A7" s="2" t="s">
        <v>141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  <c r="L7" t="s">
        <v>18</v>
      </c>
      <c r="M7" s="1">
        <v>0.65500000000000003</v>
      </c>
      <c r="N7" s="1">
        <v>0.67500000000000004</v>
      </c>
      <c r="T7" t="s">
        <v>18</v>
      </c>
      <c r="U7" s="1">
        <v>0.65500000000000003</v>
      </c>
      <c r="V7" s="1">
        <v>0.65500000000000003</v>
      </c>
      <c r="W7" s="1">
        <v>1.4999999999999999E-2</v>
      </c>
      <c r="X7" s="1">
        <v>0.01</v>
      </c>
    </row>
    <row r="8" spans="1:26">
      <c r="L8" t="s">
        <v>19</v>
      </c>
      <c r="M8" s="1">
        <v>0.65700000000000003</v>
      </c>
      <c r="T8" t="s">
        <v>19</v>
      </c>
      <c r="U8" s="1">
        <v>0.65700000000000003</v>
      </c>
      <c r="V8" s="1">
        <v>0.65500000000000003</v>
      </c>
      <c r="W8" s="1">
        <v>1.4999999999999999E-2</v>
      </c>
      <c r="X8" s="1">
        <v>0.01</v>
      </c>
    </row>
    <row r="9" spans="1:26">
      <c r="L9" t="s">
        <v>20</v>
      </c>
      <c r="M9" s="1">
        <v>0.65900000000000003</v>
      </c>
      <c r="T9" t="s">
        <v>20</v>
      </c>
      <c r="U9" s="1">
        <v>0.65900000000000003</v>
      </c>
      <c r="V9" s="1">
        <v>0.65500000000000003</v>
      </c>
      <c r="W9" s="1">
        <v>1.4999999999999999E-2</v>
      </c>
      <c r="X9" s="1">
        <v>0.01</v>
      </c>
    </row>
    <row r="10" spans="1:26">
      <c r="E10" s="5" t="s">
        <v>21</v>
      </c>
      <c r="F10" t="s">
        <v>69</v>
      </c>
      <c r="L10" t="s">
        <v>93</v>
      </c>
      <c r="M10" s="1">
        <v>0.66500000000000004</v>
      </c>
      <c r="T10" t="s">
        <v>93</v>
      </c>
      <c r="U10" s="1">
        <v>0.66500000000000004</v>
      </c>
      <c r="V10" s="1">
        <v>0.65500000000000003</v>
      </c>
      <c r="W10" s="1">
        <v>1.4999999999999999E-2</v>
      </c>
      <c r="X10" s="1">
        <v>0.01</v>
      </c>
    </row>
    <row r="11" spans="1:26">
      <c r="E11" t="s">
        <v>15</v>
      </c>
      <c r="F11" s="37">
        <v>20</v>
      </c>
      <c r="G11" s="1"/>
      <c r="L11" t="s">
        <v>94</v>
      </c>
      <c r="M11" s="1">
        <v>0.66700000000000004</v>
      </c>
      <c r="N11" s="1">
        <v>0.67500000000000004</v>
      </c>
      <c r="O11" s="1"/>
      <c r="T11" t="s">
        <v>94</v>
      </c>
      <c r="U11" s="1">
        <v>0.66700000000000004</v>
      </c>
      <c r="V11" s="1">
        <v>0.65500000000000003</v>
      </c>
      <c r="W11" s="1">
        <v>1.4999999999999999E-2</v>
      </c>
      <c r="X11" s="1">
        <v>0.01</v>
      </c>
    </row>
    <row r="12" spans="1:26">
      <c r="E12" t="s">
        <v>16</v>
      </c>
      <c r="F12" s="37">
        <v>25</v>
      </c>
      <c r="G12" s="1"/>
      <c r="L12" t="s">
        <v>95</v>
      </c>
      <c r="M12" s="1">
        <v>0.66900000000000004</v>
      </c>
      <c r="N12" s="1">
        <v>0.67500000000000004</v>
      </c>
      <c r="O12" s="1"/>
      <c r="T12" t="s">
        <v>95</v>
      </c>
      <c r="U12" s="1">
        <v>0.66900000000000004</v>
      </c>
      <c r="V12" s="1">
        <v>0.65500000000000003</v>
      </c>
      <c r="W12" s="1">
        <v>1.4999999999999999E-2</v>
      </c>
      <c r="X12" s="1">
        <v>0.01</v>
      </c>
    </row>
    <row r="13" spans="1:26">
      <c r="E13" t="s">
        <v>17</v>
      </c>
      <c r="F13" s="37">
        <v>40</v>
      </c>
      <c r="G13" s="1"/>
      <c r="L13" t="s">
        <v>96</v>
      </c>
      <c r="M13" s="1">
        <v>0.67100000000000004</v>
      </c>
      <c r="N13" s="1">
        <v>0.67500000000000004</v>
      </c>
      <c r="T13" t="s">
        <v>96</v>
      </c>
      <c r="U13" s="1">
        <v>0.67100000000000004</v>
      </c>
      <c r="V13" s="1">
        <v>0.65500000000000003</v>
      </c>
      <c r="W13" s="1">
        <v>1.4999999999999999E-2</v>
      </c>
      <c r="X13" s="1">
        <v>0.01</v>
      </c>
    </row>
    <row r="14" spans="1:26">
      <c r="E14" t="s">
        <v>18</v>
      </c>
      <c r="F14" s="37">
        <v>900</v>
      </c>
      <c r="G14" s="1"/>
    </row>
    <row r="15" spans="1:26">
      <c r="E15" t="s">
        <v>19</v>
      </c>
      <c r="F15" s="37">
        <v>160</v>
      </c>
    </row>
    <row r="16" spans="1:26">
      <c r="E16" t="s">
        <v>20</v>
      </c>
      <c r="F16" s="37">
        <v>300</v>
      </c>
    </row>
    <row r="17" spans="5:20">
      <c r="E17" t="s">
        <v>93</v>
      </c>
      <c r="F17" s="37">
        <v>1000</v>
      </c>
    </row>
    <row r="18" spans="5:20">
      <c r="E18" t="s">
        <v>94</v>
      </c>
      <c r="F18" s="37">
        <v>15000</v>
      </c>
      <c r="G18" s="1"/>
    </row>
    <row r="19" spans="5:20">
      <c r="F19" s="37"/>
      <c r="G19" s="1"/>
    </row>
    <row r="20" spans="5:20">
      <c r="F20" s="37"/>
      <c r="G20" s="1"/>
    </row>
    <row r="27" spans="5:20">
      <c r="L27" t="s">
        <v>171</v>
      </c>
      <c r="T27" t="s">
        <v>179</v>
      </c>
    </row>
    <row r="28" spans="5:20">
      <c r="L28" t="s">
        <v>172</v>
      </c>
      <c r="T28" t="s">
        <v>186</v>
      </c>
    </row>
    <row r="29" spans="5:20">
      <c r="L29" t="s">
        <v>176</v>
      </c>
    </row>
    <row r="30" spans="5:20">
      <c r="L30" t="s">
        <v>173</v>
      </c>
    </row>
    <row r="31" spans="5:20">
      <c r="L31" t="s">
        <v>180</v>
      </c>
    </row>
    <row r="32" spans="5:20">
      <c r="L32" t="s">
        <v>185</v>
      </c>
    </row>
    <row r="34" spans="5:16">
      <c r="E34" t="s">
        <v>187</v>
      </c>
      <c r="K34" s="32"/>
      <c r="L34" s="32"/>
      <c r="M34" s="32"/>
      <c r="N34" s="32"/>
      <c r="O34" s="32"/>
      <c r="P34" s="32"/>
    </row>
    <row r="35" spans="5:16">
      <c r="E35" t="s">
        <v>188</v>
      </c>
      <c r="K35" s="33"/>
      <c r="L35" s="33"/>
      <c r="M35" s="33"/>
      <c r="N35" s="33"/>
      <c r="O35" s="33"/>
      <c r="P35" s="33"/>
    </row>
    <row r="36" spans="5:16">
      <c r="E36" t="s">
        <v>189</v>
      </c>
      <c r="K36" s="36"/>
      <c r="L36" s="36"/>
      <c r="M36" s="36"/>
      <c r="N36" s="36"/>
      <c r="O36" s="36"/>
      <c r="P36" s="36"/>
    </row>
    <row r="37" spans="5:16">
      <c r="E37" t="s">
        <v>190</v>
      </c>
      <c r="K37" s="36"/>
      <c r="L37" s="36"/>
      <c r="M37" s="36"/>
      <c r="N37" s="36"/>
      <c r="O37" s="36"/>
      <c r="P37" s="36"/>
    </row>
    <row r="38" spans="5:16">
      <c r="K38" s="36"/>
      <c r="L38" s="36"/>
      <c r="M38" s="36"/>
      <c r="N38" s="36"/>
      <c r="O38" s="36"/>
      <c r="P38" s="36"/>
    </row>
    <row r="55" spans="11:17">
      <c r="Q55" s="34"/>
    </row>
    <row r="56" spans="11:17">
      <c r="Q56" s="34"/>
    </row>
    <row r="57" spans="11:17">
      <c r="Q57" s="34"/>
    </row>
    <row r="58" spans="11:17">
      <c r="Q58" s="34"/>
    </row>
    <row r="59" spans="11:17">
      <c r="K59" s="34"/>
      <c r="L59" s="34"/>
      <c r="M59" s="34"/>
      <c r="N59" s="34"/>
      <c r="O59" s="34"/>
      <c r="P59" s="34"/>
      <c r="Q59" s="34"/>
    </row>
    <row r="60" spans="11:17">
      <c r="K60" s="34"/>
      <c r="L60" s="34"/>
      <c r="M60" s="34"/>
      <c r="N60" s="34"/>
      <c r="O60" s="34"/>
      <c r="P60" s="34"/>
      <c r="Q60" s="34"/>
    </row>
    <row r="61" spans="11:17">
      <c r="K61" s="34"/>
      <c r="L61" s="34"/>
      <c r="M61" s="34"/>
      <c r="N61" s="34"/>
      <c r="O61" s="34"/>
      <c r="P61" s="34"/>
      <c r="Q61" s="34"/>
    </row>
    <row r="62" spans="11:17">
      <c r="K62" s="34"/>
      <c r="L62" s="34"/>
      <c r="M62" s="34"/>
      <c r="N62" s="34"/>
      <c r="O62" s="34"/>
      <c r="P62" s="34"/>
      <c r="Q62" s="34"/>
    </row>
    <row r="63" spans="11:17">
      <c r="K63" s="34"/>
      <c r="L63" s="34"/>
      <c r="M63" s="34"/>
      <c r="N63" s="34"/>
      <c r="O63" s="34"/>
      <c r="P63" s="34"/>
      <c r="Q63" s="34"/>
    </row>
    <row r="64" spans="11:17">
      <c r="K64" s="34"/>
      <c r="L64" s="34"/>
      <c r="M64" s="34"/>
      <c r="N64" s="34"/>
      <c r="O64" s="34"/>
      <c r="P64" s="34"/>
      <c r="Q64" s="34"/>
    </row>
    <row r="65" spans="11:17">
      <c r="K65" s="34"/>
      <c r="L65" s="34"/>
      <c r="M65" s="34"/>
      <c r="N65" s="34"/>
      <c r="O65" s="34"/>
      <c r="P65" s="34"/>
      <c r="Q65" s="34"/>
    </row>
    <row r="66" spans="11:17">
      <c r="K66" s="34"/>
      <c r="L66" s="34"/>
      <c r="M66" s="34"/>
      <c r="N66" s="34"/>
      <c r="O66" s="34"/>
      <c r="P66" s="34"/>
      <c r="Q66" s="34"/>
    </row>
    <row r="67" spans="11:17">
      <c r="K67" s="34"/>
      <c r="L67" s="34"/>
      <c r="M67" s="34"/>
      <c r="N67" s="34"/>
      <c r="O67" s="34"/>
      <c r="P67" s="34"/>
      <c r="Q67" s="34"/>
    </row>
    <row r="68" spans="11:17">
      <c r="K68" s="34"/>
      <c r="L68" s="34"/>
      <c r="M68" s="34"/>
      <c r="N68" s="34"/>
      <c r="O68" s="34"/>
      <c r="P68" s="34"/>
      <c r="Q68" s="34"/>
    </row>
    <row r="69" spans="11:17">
      <c r="K69" s="34"/>
      <c r="L69" s="34"/>
      <c r="M69" s="34"/>
      <c r="N69" s="34"/>
      <c r="O69" s="34"/>
      <c r="P69" s="34"/>
      <c r="Q69" s="34"/>
    </row>
    <row r="70" spans="11:17">
      <c r="K70" s="34"/>
      <c r="L70" s="34"/>
      <c r="M70" s="34"/>
      <c r="N70" s="34"/>
      <c r="O70" s="34"/>
      <c r="P70" s="34"/>
      <c r="Q70" s="34"/>
    </row>
    <row r="71" spans="11:17">
      <c r="K71" s="34"/>
      <c r="L71" s="34"/>
      <c r="M71" s="34"/>
      <c r="N71" s="34"/>
      <c r="O71" s="34"/>
      <c r="P71" s="34"/>
      <c r="Q71" s="34"/>
    </row>
    <row r="72" spans="11:17">
      <c r="K72" s="34"/>
      <c r="L72" s="34"/>
      <c r="M72" s="34"/>
      <c r="N72" s="34"/>
      <c r="O72" s="34"/>
      <c r="P72" s="34"/>
      <c r="Q72" s="34"/>
    </row>
    <row r="73" spans="11:17">
      <c r="K73" s="34"/>
      <c r="L73" s="34"/>
      <c r="M73" s="34"/>
      <c r="N73" s="34"/>
      <c r="O73" s="34"/>
      <c r="P73" s="34"/>
      <c r="Q73" s="34"/>
    </row>
    <row r="74" spans="11:17">
      <c r="K74" s="34"/>
      <c r="L74" s="34"/>
      <c r="M74" s="34"/>
      <c r="N74" s="34"/>
      <c r="O74" s="34"/>
      <c r="P74" s="34"/>
      <c r="Q74" s="34"/>
    </row>
    <row r="75" spans="11:17">
      <c r="K75" s="34"/>
      <c r="L75" s="34"/>
      <c r="M75" s="34"/>
      <c r="N75" s="34"/>
      <c r="O75" s="34"/>
      <c r="P75" s="34"/>
      <c r="Q75" s="34"/>
    </row>
    <row r="76" spans="11:17">
      <c r="K76" s="34"/>
      <c r="L76" s="34"/>
      <c r="M76" s="34"/>
      <c r="N76" s="34"/>
      <c r="O76" s="34"/>
      <c r="P76" s="34"/>
      <c r="Q76" s="34"/>
    </row>
    <row r="77" spans="11:17">
      <c r="K77" s="34"/>
      <c r="L77" s="34"/>
      <c r="M77" s="34"/>
      <c r="N77" s="34"/>
      <c r="O77" s="34"/>
      <c r="P77" s="34"/>
      <c r="Q77" s="34"/>
    </row>
    <row r="78" spans="11:17">
      <c r="K78" s="34"/>
      <c r="L78" s="34"/>
      <c r="M78" s="34"/>
      <c r="N78" s="34"/>
      <c r="O78" s="34"/>
      <c r="P78" s="34"/>
      <c r="Q78" s="34"/>
    </row>
  </sheetData>
  <phoneticPr fontId="1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29DFD-49BB-407A-BDF0-AD84EF1484FC}">
  <sheetPr codeName="Sheet18"/>
  <dimension ref="A1:R10"/>
  <sheetViews>
    <sheetView workbookViewId="0">
      <selection activeCell="A4" sqref="A4"/>
    </sheetView>
  </sheetViews>
  <sheetFormatPr defaultRowHeight="13.5"/>
  <cols>
    <col min="1" max="16384" width="9" style="34"/>
  </cols>
  <sheetData>
    <row r="1" spans="1:18">
      <c r="A1" s="34" t="s">
        <v>161</v>
      </c>
    </row>
    <row r="2" spans="1:18">
      <c r="A2" s="34" t="s">
        <v>162</v>
      </c>
    </row>
    <row r="3" spans="1:18">
      <c r="A3" s="34" t="s">
        <v>170</v>
      </c>
    </row>
    <row r="6" spans="1:18">
      <c r="A6" s="33" t="s">
        <v>147</v>
      </c>
      <c r="B6" s="33" t="s">
        <v>148</v>
      </c>
      <c r="C6" s="33" t="s">
        <v>149</v>
      </c>
      <c r="D6" s="33" t="s">
        <v>150</v>
      </c>
      <c r="E6" s="33" t="s">
        <v>151</v>
      </c>
      <c r="F6" s="33" t="s">
        <v>152</v>
      </c>
      <c r="G6" s="33" t="s">
        <v>153</v>
      </c>
      <c r="H6" s="33" t="s">
        <v>154</v>
      </c>
      <c r="I6" s="33" t="s">
        <v>155</v>
      </c>
      <c r="J6" s="33" t="s">
        <v>156</v>
      </c>
      <c r="K6" s="33" t="s">
        <v>157</v>
      </c>
      <c r="L6" s="33" t="s">
        <v>158</v>
      </c>
      <c r="M6" s="33" t="s">
        <v>159</v>
      </c>
      <c r="R6" s="34" t="s">
        <v>166</v>
      </c>
    </row>
    <row r="7" spans="1:18" ht="18.75">
      <c r="A7" s="35" t="s">
        <v>160</v>
      </c>
      <c r="B7" s="36">
        <v>137000</v>
      </c>
      <c r="C7" s="36">
        <v>165000</v>
      </c>
      <c r="D7" s="36">
        <v>107000</v>
      </c>
      <c r="E7" s="36">
        <v>145000</v>
      </c>
      <c r="F7" s="36">
        <v>190000</v>
      </c>
      <c r="G7" s="36">
        <v>115000</v>
      </c>
      <c r="H7" s="36">
        <v>161000</v>
      </c>
      <c r="I7" s="36">
        <v>131000</v>
      </c>
      <c r="J7" s="36">
        <v>129000</v>
      </c>
      <c r="K7" s="36">
        <v>115000</v>
      </c>
      <c r="L7" s="36">
        <v>183000</v>
      </c>
      <c r="M7" s="36">
        <v>183000</v>
      </c>
      <c r="O7" s="34" t="s">
        <v>165</v>
      </c>
      <c r="R7" s="34" t="s">
        <v>168</v>
      </c>
    </row>
    <row r="8" spans="1:18" ht="18.75">
      <c r="A8" s="35"/>
      <c r="B8" s="36">
        <v>100000</v>
      </c>
      <c r="C8" s="36">
        <v>100000</v>
      </c>
      <c r="D8" s="36">
        <v>100000</v>
      </c>
      <c r="E8" s="36">
        <v>100000</v>
      </c>
      <c r="F8" s="36">
        <v>100000</v>
      </c>
      <c r="G8" s="36">
        <v>100000</v>
      </c>
      <c r="H8" s="36">
        <v>100000</v>
      </c>
      <c r="I8" s="36">
        <v>100000</v>
      </c>
      <c r="J8" s="36">
        <v>100000</v>
      </c>
      <c r="K8" s="36">
        <v>100000</v>
      </c>
      <c r="L8" s="36">
        <v>100000</v>
      </c>
      <c r="M8" s="36">
        <v>100000</v>
      </c>
      <c r="O8" s="34" t="s">
        <v>163</v>
      </c>
      <c r="R8" s="34" t="s">
        <v>167</v>
      </c>
    </row>
    <row r="9" spans="1:18" ht="18.75">
      <c r="A9" s="35"/>
      <c r="B9" s="36">
        <v>50000</v>
      </c>
      <c r="C9" s="36">
        <v>50000</v>
      </c>
      <c r="D9" s="36">
        <v>50000</v>
      </c>
      <c r="E9" s="36">
        <v>50000</v>
      </c>
      <c r="F9" s="36">
        <v>50000</v>
      </c>
      <c r="G9" s="36">
        <v>50000</v>
      </c>
      <c r="H9" s="36">
        <v>50000</v>
      </c>
      <c r="I9" s="36">
        <v>50000</v>
      </c>
      <c r="J9" s="36">
        <v>50000</v>
      </c>
      <c r="K9" s="36">
        <v>50000</v>
      </c>
      <c r="L9" s="36">
        <v>50000</v>
      </c>
      <c r="M9" s="36">
        <v>50000</v>
      </c>
      <c r="O9" s="34" t="s">
        <v>164</v>
      </c>
      <c r="R9" s="34" t="s">
        <v>169</v>
      </c>
    </row>
    <row r="10" spans="1:18" ht="18.75">
      <c r="A10" s="35"/>
      <c r="B10" s="36">
        <v>50000</v>
      </c>
      <c r="C10" s="36">
        <v>50000</v>
      </c>
      <c r="D10" s="36">
        <v>50000</v>
      </c>
      <c r="E10" s="36">
        <v>50000</v>
      </c>
      <c r="F10" s="36">
        <v>50000</v>
      </c>
      <c r="G10" s="36">
        <v>50000</v>
      </c>
      <c r="H10" s="36">
        <v>50000</v>
      </c>
      <c r="I10" s="36">
        <v>50000</v>
      </c>
      <c r="J10" s="36">
        <v>50000</v>
      </c>
      <c r="K10" s="36">
        <v>50000</v>
      </c>
      <c r="L10" s="36">
        <v>50000</v>
      </c>
      <c r="M10" s="36">
        <v>50000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0869C-233F-4AFE-A18C-6DC7F0493936}">
  <sheetPr codeName="Sheet19"/>
  <dimension ref="A1:M4"/>
  <sheetViews>
    <sheetView workbookViewId="0">
      <selection sqref="A1:N24"/>
    </sheetView>
  </sheetViews>
  <sheetFormatPr defaultRowHeight="13.5"/>
  <cols>
    <col min="1" max="16384" width="9" style="34"/>
  </cols>
  <sheetData>
    <row r="1" spans="1:13">
      <c r="A1" s="33" t="s">
        <v>147</v>
      </c>
      <c r="B1" s="33" t="s">
        <v>148</v>
      </c>
      <c r="C1" s="33" t="s">
        <v>149</v>
      </c>
      <c r="D1" s="33" t="s">
        <v>150</v>
      </c>
      <c r="E1" s="33" t="s">
        <v>151</v>
      </c>
      <c r="F1" s="33" t="s">
        <v>152</v>
      </c>
      <c r="G1" s="33" t="s">
        <v>153</v>
      </c>
      <c r="H1" s="33" t="s">
        <v>154</v>
      </c>
      <c r="I1" s="33" t="s">
        <v>155</v>
      </c>
      <c r="J1" s="33" t="s">
        <v>156</v>
      </c>
      <c r="K1" s="33" t="s">
        <v>157</v>
      </c>
      <c r="L1" s="33" t="s">
        <v>158</v>
      </c>
      <c r="M1" s="33" t="s">
        <v>159</v>
      </c>
    </row>
    <row r="2" spans="1:13" ht="18.75">
      <c r="A2" s="35" t="s">
        <v>160</v>
      </c>
      <c r="B2" s="36">
        <v>137000</v>
      </c>
      <c r="C2" s="36">
        <v>165000</v>
      </c>
      <c r="D2" s="36">
        <v>107000</v>
      </c>
      <c r="E2" s="36">
        <v>145000</v>
      </c>
      <c r="F2" s="36">
        <v>190000</v>
      </c>
      <c r="G2" s="36">
        <v>115000</v>
      </c>
      <c r="H2" s="36">
        <v>161000</v>
      </c>
      <c r="I2" s="36">
        <v>131000</v>
      </c>
      <c r="J2" s="36">
        <v>129000</v>
      </c>
      <c r="K2" s="36">
        <v>115000</v>
      </c>
      <c r="L2" s="36">
        <v>183000</v>
      </c>
      <c r="M2" s="36">
        <v>183000</v>
      </c>
    </row>
    <row r="3" spans="1:13" ht="18.75">
      <c r="E3" s="36">
        <v>200000</v>
      </c>
      <c r="F3" s="36">
        <v>200000</v>
      </c>
      <c r="G3" s="36">
        <v>200000</v>
      </c>
      <c r="H3" s="36"/>
      <c r="I3" s="36"/>
      <c r="J3" s="36"/>
      <c r="K3" s="36"/>
      <c r="L3" s="36"/>
      <c r="M3" s="36"/>
    </row>
    <row r="4" spans="1:13" ht="18.75">
      <c r="E4" s="36"/>
      <c r="F4" s="36"/>
      <c r="G4" s="36"/>
      <c r="H4" s="36"/>
      <c r="I4" s="36"/>
      <c r="J4" s="36"/>
      <c r="K4" s="36">
        <v>200000</v>
      </c>
      <c r="L4" s="36">
        <v>200000</v>
      </c>
      <c r="M4" s="36">
        <v>200000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E6C27B-790E-4BA4-BAFB-E8C965D0A9EF}">
  <sheetPr codeName="Sheet5">
    <tabColor theme="9"/>
  </sheetPr>
  <dimension ref="A6:M76"/>
  <sheetViews>
    <sheetView workbookViewId="0">
      <selection activeCell="E10" sqref="E10"/>
    </sheetView>
  </sheetViews>
  <sheetFormatPr defaultRowHeight="18.75"/>
  <cols>
    <col min="2" max="2" width="10.5" bestFit="1" customWidth="1"/>
    <col min="4" max="4" width="10.5" bestFit="1" customWidth="1"/>
    <col min="5" max="5" width="22.5" customWidth="1"/>
    <col min="7" max="7" width="9.5" bestFit="1" customWidth="1"/>
    <col min="8" max="10" width="9" customWidth="1"/>
    <col min="11" max="11" width="11" bestFit="1" customWidth="1"/>
  </cols>
  <sheetData>
    <row r="6" spans="1:13">
      <c r="E6" t="s">
        <v>254</v>
      </c>
    </row>
    <row r="7" spans="1:13">
      <c r="B7" t="s">
        <v>255</v>
      </c>
      <c r="C7" t="s">
        <v>255</v>
      </c>
      <c r="D7" t="s">
        <v>255</v>
      </c>
      <c r="F7" t="s">
        <v>256</v>
      </c>
      <c r="G7" t="s">
        <v>256</v>
      </c>
      <c r="H7" t="s">
        <v>257</v>
      </c>
      <c r="I7" t="s">
        <v>257</v>
      </c>
      <c r="J7" t="s">
        <v>257</v>
      </c>
      <c r="K7" t="s">
        <v>257</v>
      </c>
      <c r="L7" t="s">
        <v>257</v>
      </c>
      <c r="M7" t="s">
        <v>256</v>
      </c>
    </row>
    <row r="8" spans="1:13">
      <c r="F8" t="s">
        <v>258</v>
      </c>
      <c r="G8" t="s">
        <v>259</v>
      </c>
      <c r="H8" t="s">
        <v>260</v>
      </c>
      <c r="I8" t="s">
        <v>258</v>
      </c>
      <c r="J8" t="s">
        <v>261</v>
      </c>
      <c r="K8" t="s">
        <v>262</v>
      </c>
      <c r="L8" t="s">
        <v>263</v>
      </c>
      <c r="M8" t="s">
        <v>264</v>
      </c>
    </row>
    <row r="9" spans="1:13">
      <c r="A9" t="s">
        <v>255</v>
      </c>
      <c r="F9" t="s">
        <v>128</v>
      </c>
      <c r="G9" t="s">
        <v>128</v>
      </c>
      <c r="H9" t="s">
        <v>128</v>
      </c>
      <c r="I9" t="s">
        <v>129</v>
      </c>
      <c r="J9" t="s">
        <v>128</v>
      </c>
      <c r="K9" t="s">
        <v>129</v>
      </c>
      <c r="L9" t="s">
        <v>128</v>
      </c>
      <c r="M9" t="s">
        <v>128</v>
      </c>
    </row>
    <row r="10" spans="1:13">
      <c r="E10" s="2" t="s">
        <v>12</v>
      </c>
      <c r="F10" s="2" t="s">
        <v>103</v>
      </c>
      <c r="G10" s="2" t="s">
        <v>104</v>
      </c>
      <c r="H10" s="2" t="s">
        <v>105</v>
      </c>
      <c r="I10" s="2" t="s">
        <v>106</v>
      </c>
      <c r="J10" s="2" t="s">
        <v>107</v>
      </c>
      <c r="K10" s="2" t="s">
        <v>108</v>
      </c>
      <c r="L10" s="2" t="s">
        <v>109</v>
      </c>
      <c r="M10" s="2" t="s">
        <v>110</v>
      </c>
    </row>
    <row r="11" spans="1:13">
      <c r="E11" s="2" t="s">
        <v>265</v>
      </c>
      <c r="F11" s="1">
        <v>1100000000000</v>
      </c>
      <c r="G11" s="1">
        <v>200000000000</v>
      </c>
      <c r="H11" s="2">
        <v>1</v>
      </c>
      <c r="I11" s="1">
        <v>5200000000000</v>
      </c>
      <c r="J11" s="2">
        <v>1</v>
      </c>
      <c r="K11">
        <f>311000000000</f>
        <v>311000000000</v>
      </c>
      <c r="L11" s="2">
        <v>-1.1000000000000001</v>
      </c>
      <c r="M11" s="2">
        <v>2</v>
      </c>
    </row>
    <row r="12" spans="1:13">
      <c r="E12" s="2" t="s">
        <v>266</v>
      </c>
      <c r="F12" s="1">
        <v>1100000000000</v>
      </c>
      <c r="G12" s="1">
        <v>200000000000</v>
      </c>
      <c r="H12" s="2">
        <v>1</v>
      </c>
      <c r="I12" s="21">
        <v>5300000000000</v>
      </c>
      <c r="J12" s="18">
        <v>2</v>
      </c>
      <c r="K12">
        <f>311000000000</f>
        <v>311000000000</v>
      </c>
      <c r="L12" s="2">
        <v>-1.1000000000000001</v>
      </c>
      <c r="M12" s="2">
        <v>2</v>
      </c>
    </row>
    <row r="13" spans="1:13">
      <c r="E13" s="2" t="s">
        <v>267</v>
      </c>
      <c r="F13" s="1">
        <v>1100000000000</v>
      </c>
      <c r="G13" s="1">
        <v>200000000000</v>
      </c>
      <c r="H13" s="2">
        <v>1</v>
      </c>
      <c r="I13" s="26">
        <v>5400000000000</v>
      </c>
      <c r="J13">
        <v>3</v>
      </c>
      <c r="K13">
        <f>311000000000</f>
        <v>311000000000</v>
      </c>
      <c r="L13" s="17">
        <v>-1.2</v>
      </c>
      <c r="M13" s="2">
        <v>2</v>
      </c>
    </row>
    <row r="14" spans="1:13">
      <c r="E14" s="2" t="s">
        <v>268</v>
      </c>
      <c r="F14" s="4">
        <v>1200000000000</v>
      </c>
      <c r="G14" s="1">
        <v>200000000000</v>
      </c>
      <c r="H14" s="2">
        <v>1</v>
      </c>
      <c r="I14" s="1">
        <v>5200000000000</v>
      </c>
      <c r="J14" s="2">
        <v>1</v>
      </c>
      <c r="K14" s="23">
        <v>330000000000</v>
      </c>
      <c r="L14" s="17">
        <v>-1.2</v>
      </c>
      <c r="M14" s="2">
        <v>2</v>
      </c>
    </row>
    <row r="15" spans="1:13">
      <c r="E15" s="2" t="s">
        <v>269</v>
      </c>
      <c r="F15" s="4">
        <v>1200000000000</v>
      </c>
      <c r="G15" s="1">
        <v>200000000000</v>
      </c>
      <c r="H15" s="2">
        <v>1</v>
      </c>
      <c r="I15" s="21">
        <v>5300000000000</v>
      </c>
      <c r="J15" s="18">
        <v>2</v>
      </c>
      <c r="K15" s="23">
        <v>330000000000</v>
      </c>
      <c r="L15" s="17">
        <v>-1.2</v>
      </c>
      <c r="M15" s="2">
        <v>2</v>
      </c>
    </row>
    <row r="16" spans="1:13">
      <c r="E16" s="2" t="s">
        <v>270</v>
      </c>
      <c r="F16" s="4">
        <v>1200000000000</v>
      </c>
      <c r="G16" s="1">
        <v>200000000000</v>
      </c>
      <c r="H16" s="2">
        <v>1</v>
      </c>
      <c r="I16" s="26">
        <v>5400000000000</v>
      </c>
      <c r="J16" s="19">
        <v>3</v>
      </c>
      <c r="K16" s="23">
        <v>330000000000</v>
      </c>
      <c r="L16" s="17">
        <v>-1.2</v>
      </c>
      <c r="M16" s="2">
        <v>2</v>
      </c>
    </row>
    <row r="17" spans="1:13">
      <c r="E17" s="2" t="s">
        <v>271</v>
      </c>
      <c r="F17" s="4">
        <v>1200000000000</v>
      </c>
      <c r="G17" s="1">
        <v>200000000000</v>
      </c>
      <c r="H17" s="2">
        <v>1</v>
      </c>
      <c r="I17" s="22">
        <v>5400000000000</v>
      </c>
      <c r="J17" s="2">
        <v>1</v>
      </c>
      <c r="K17" s="23">
        <v>330000000000</v>
      </c>
      <c r="L17" s="39">
        <v>-1.3</v>
      </c>
      <c r="M17" s="2">
        <v>2</v>
      </c>
    </row>
    <row r="18" spans="1:13">
      <c r="E18" s="2" t="s">
        <v>272</v>
      </c>
      <c r="F18" s="4">
        <v>1300000000000</v>
      </c>
      <c r="G18" s="24">
        <v>300000000000</v>
      </c>
      <c r="H18" s="2">
        <v>1</v>
      </c>
      <c r="I18" s="1">
        <v>5200000000000</v>
      </c>
      <c r="J18" s="18">
        <v>2</v>
      </c>
      <c r="K18" s="23">
        <v>330000000000</v>
      </c>
      <c r="L18" s="39">
        <v>-1.3</v>
      </c>
      <c r="M18" s="2">
        <v>2</v>
      </c>
    </row>
    <row r="19" spans="1:13">
      <c r="E19" s="2" t="s">
        <v>273</v>
      </c>
      <c r="F19" s="4">
        <v>1300000000000</v>
      </c>
      <c r="G19" s="24">
        <v>300000000000</v>
      </c>
      <c r="H19" s="2">
        <v>1</v>
      </c>
      <c r="I19" s="21">
        <v>5300000000000</v>
      </c>
      <c r="J19" s="19">
        <v>3</v>
      </c>
      <c r="K19" s="23">
        <v>330000000000</v>
      </c>
      <c r="L19" s="39">
        <v>-1.3</v>
      </c>
      <c r="M19" s="2">
        <v>2</v>
      </c>
    </row>
    <row r="20" spans="1:13">
      <c r="E20" s="2" t="s">
        <v>274</v>
      </c>
      <c r="F20" s="4">
        <v>1300000000000</v>
      </c>
      <c r="G20" s="24">
        <v>300000000000</v>
      </c>
      <c r="H20" s="2">
        <v>1</v>
      </c>
      <c r="I20" s="26">
        <v>5400000000000</v>
      </c>
      <c r="J20" s="2">
        <v>1</v>
      </c>
      <c r="K20" s="23">
        <v>330000000000</v>
      </c>
      <c r="L20" s="39">
        <v>-1.3</v>
      </c>
      <c r="M20" s="2">
        <v>2</v>
      </c>
    </row>
    <row r="21" spans="1:13">
      <c r="E21" s="2" t="s">
        <v>275</v>
      </c>
      <c r="F21" s="4">
        <v>1300000000000</v>
      </c>
      <c r="G21" s="24">
        <v>300000000000</v>
      </c>
      <c r="H21" s="2">
        <v>1</v>
      </c>
      <c r="I21" s="1">
        <v>5200000000000</v>
      </c>
      <c r="J21" s="18">
        <v>2</v>
      </c>
      <c r="K21" s="25">
        <v>360000000000</v>
      </c>
      <c r="L21" s="39">
        <v>-1.3</v>
      </c>
      <c r="M21" s="2">
        <v>2</v>
      </c>
    </row>
    <row r="22" spans="1:13">
      <c r="E22" s="2" t="s">
        <v>276</v>
      </c>
      <c r="F22" s="4">
        <v>1400000000000</v>
      </c>
      <c r="G22" s="24">
        <v>300000000000</v>
      </c>
      <c r="H22" s="2">
        <v>1</v>
      </c>
      <c r="I22" s="21">
        <v>5300000000000</v>
      </c>
      <c r="J22" s="19">
        <v>3</v>
      </c>
      <c r="K22" s="25">
        <v>360000000000</v>
      </c>
      <c r="L22" s="39">
        <v>-1.3</v>
      </c>
      <c r="M22" s="2">
        <v>2</v>
      </c>
    </row>
    <row r="25" spans="1:13">
      <c r="E25" t="s">
        <v>277</v>
      </c>
    </row>
    <row r="26" spans="1:13">
      <c r="B26" t="s">
        <v>255</v>
      </c>
      <c r="C26" t="s">
        <v>255</v>
      </c>
      <c r="D26" t="s">
        <v>255</v>
      </c>
      <c r="F26" t="s">
        <v>256</v>
      </c>
      <c r="G26" t="s">
        <v>256</v>
      </c>
      <c r="H26" t="s">
        <v>257</v>
      </c>
      <c r="I26" t="s">
        <v>257</v>
      </c>
      <c r="J26" t="s">
        <v>257</v>
      </c>
      <c r="K26" t="s">
        <v>257</v>
      </c>
      <c r="L26" t="s">
        <v>257</v>
      </c>
      <c r="M26" t="s">
        <v>256</v>
      </c>
    </row>
    <row r="27" spans="1:13">
      <c r="F27" t="s">
        <v>258</v>
      </c>
      <c r="G27" t="s">
        <v>259</v>
      </c>
      <c r="H27" t="s">
        <v>260</v>
      </c>
      <c r="I27" t="s">
        <v>258</v>
      </c>
      <c r="J27" t="s">
        <v>261</v>
      </c>
      <c r="K27" t="s">
        <v>262</v>
      </c>
      <c r="L27" t="s">
        <v>263</v>
      </c>
      <c r="M27" t="s">
        <v>264</v>
      </c>
    </row>
    <row r="28" spans="1:13">
      <c r="A28" t="s">
        <v>255</v>
      </c>
      <c r="F28" t="s">
        <v>128</v>
      </c>
      <c r="G28" t="s">
        <v>128</v>
      </c>
      <c r="H28" t="s">
        <v>128</v>
      </c>
      <c r="I28" t="s">
        <v>129</v>
      </c>
      <c r="J28" t="s">
        <v>128</v>
      </c>
      <c r="K28" t="s">
        <v>129</v>
      </c>
      <c r="L28" t="s">
        <v>128</v>
      </c>
      <c r="M28" t="s">
        <v>128</v>
      </c>
    </row>
    <row r="29" spans="1:13">
      <c r="E29" s="2" t="s">
        <v>12</v>
      </c>
      <c r="F29" s="2" t="s">
        <v>103</v>
      </c>
      <c r="G29" s="2" t="s">
        <v>104</v>
      </c>
      <c r="H29" s="2" t="s">
        <v>105</v>
      </c>
      <c r="I29" s="2" t="s">
        <v>106</v>
      </c>
      <c r="J29" s="2" t="s">
        <v>107</v>
      </c>
      <c r="K29" s="2" t="s">
        <v>108</v>
      </c>
      <c r="L29" s="2" t="s">
        <v>109</v>
      </c>
      <c r="M29" s="2" t="s">
        <v>110</v>
      </c>
    </row>
    <row r="30" spans="1:13">
      <c r="E30" s="39" t="s">
        <v>145</v>
      </c>
      <c r="F30" s="1">
        <v>1100000000000</v>
      </c>
      <c r="G30" s="1">
        <v>200000000000</v>
      </c>
      <c r="H30" s="40">
        <v>10</v>
      </c>
      <c r="I30" s="1">
        <v>5200000000000</v>
      </c>
      <c r="J30" s="2">
        <v>1</v>
      </c>
      <c r="K30">
        <f t="shared" ref="K30:K35" si="0">311000000000</f>
        <v>311000000000</v>
      </c>
      <c r="L30" s="2">
        <v>-1.1000000000000001</v>
      </c>
      <c r="M30" s="40">
        <v>20</v>
      </c>
    </row>
    <row r="31" spans="1:13">
      <c r="E31" s="39" t="s">
        <v>16</v>
      </c>
      <c r="F31" s="1">
        <v>1100000000000</v>
      </c>
      <c r="G31" s="1">
        <v>200000000000</v>
      </c>
      <c r="H31" s="40">
        <v>10</v>
      </c>
      <c r="I31" s="21">
        <v>5300000000000</v>
      </c>
      <c r="J31" s="18">
        <v>2</v>
      </c>
      <c r="K31">
        <f t="shared" si="0"/>
        <v>311000000000</v>
      </c>
      <c r="L31" s="2">
        <v>-1.1000000000000001</v>
      </c>
      <c r="M31" s="40">
        <v>20</v>
      </c>
    </row>
    <row r="32" spans="1:13">
      <c r="E32" s="39" t="s">
        <v>17</v>
      </c>
      <c r="F32" s="1">
        <v>1100000000000</v>
      </c>
      <c r="G32" s="1">
        <v>200000000000</v>
      </c>
      <c r="H32" s="40">
        <v>10</v>
      </c>
      <c r="I32" s="26">
        <v>5400000000000</v>
      </c>
      <c r="J32">
        <v>3</v>
      </c>
      <c r="K32">
        <f t="shared" si="0"/>
        <v>311000000000</v>
      </c>
      <c r="L32" s="17">
        <v>-1.2</v>
      </c>
      <c r="M32" s="40">
        <v>20</v>
      </c>
    </row>
    <row r="33" spans="5:13">
      <c r="E33" s="2" t="s">
        <v>265</v>
      </c>
      <c r="F33" s="1">
        <v>1100000000000</v>
      </c>
      <c r="G33" s="1">
        <v>200000000000</v>
      </c>
      <c r="H33" s="40">
        <v>10</v>
      </c>
      <c r="I33" s="1">
        <v>5200000000000</v>
      </c>
      <c r="J33" s="2">
        <v>1</v>
      </c>
      <c r="K33">
        <f t="shared" si="0"/>
        <v>311000000000</v>
      </c>
      <c r="L33" s="2">
        <v>-1.1000000000000001</v>
      </c>
      <c r="M33" s="40">
        <v>20</v>
      </c>
    </row>
    <row r="34" spans="5:13">
      <c r="E34" s="2" t="s">
        <v>266</v>
      </c>
      <c r="F34" s="1">
        <v>1100000000000</v>
      </c>
      <c r="G34" s="1">
        <v>200000000000</v>
      </c>
      <c r="H34" s="40">
        <v>10</v>
      </c>
      <c r="I34" s="21">
        <v>5300000000000</v>
      </c>
      <c r="J34" s="18">
        <v>2</v>
      </c>
      <c r="K34">
        <f t="shared" si="0"/>
        <v>311000000000</v>
      </c>
      <c r="L34" s="2">
        <v>-1.1000000000000001</v>
      </c>
      <c r="M34" s="40">
        <v>20</v>
      </c>
    </row>
    <row r="35" spans="5:13">
      <c r="E35" s="2" t="s">
        <v>267</v>
      </c>
      <c r="F35" s="1">
        <v>1100000000000</v>
      </c>
      <c r="G35" s="1">
        <v>200000000000</v>
      </c>
      <c r="H35" s="40">
        <v>10</v>
      </c>
      <c r="I35" s="26">
        <v>5400000000000</v>
      </c>
      <c r="J35">
        <v>3</v>
      </c>
      <c r="K35">
        <f t="shared" si="0"/>
        <v>311000000000</v>
      </c>
      <c r="L35" s="17">
        <v>-1.2</v>
      </c>
      <c r="M35" s="40">
        <v>20</v>
      </c>
    </row>
    <row r="36" spans="5:13">
      <c r="E36" s="2" t="s">
        <v>268</v>
      </c>
      <c r="F36" s="4">
        <v>1200000000000</v>
      </c>
      <c r="G36" s="1">
        <v>200000000000</v>
      </c>
      <c r="H36" s="40">
        <v>10</v>
      </c>
      <c r="I36" s="1">
        <v>5200000000000</v>
      </c>
      <c r="J36" s="2">
        <v>1</v>
      </c>
      <c r="K36" s="23">
        <v>330000000000</v>
      </c>
      <c r="L36" s="17">
        <v>-1.2</v>
      </c>
      <c r="M36" s="40">
        <v>20</v>
      </c>
    </row>
    <row r="37" spans="5:13">
      <c r="E37" s="2" t="s">
        <v>269</v>
      </c>
      <c r="F37" s="4">
        <v>1200000000000</v>
      </c>
      <c r="G37" s="1">
        <v>200000000000</v>
      </c>
      <c r="H37" s="40">
        <v>10</v>
      </c>
      <c r="I37" s="21">
        <v>5300000000000</v>
      </c>
      <c r="J37" s="18">
        <v>2</v>
      </c>
      <c r="K37" s="23">
        <v>330000000000</v>
      </c>
      <c r="L37" s="17">
        <v>-1.2</v>
      </c>
      <c r="M37" s="40">
        <v>20</v>
      </c>
    </row>
    <row r="38" spans="5:13">
      <c r="E38" s="2" t="s">
        <v>270</v>
      </c>
      <c r="F38" s="4">
        <v>1200000000000</v>
      </c>
      <c r="G38" s="1">
        <v>200000000000</v>
      </c>
      <c r="H38" s="40">
        <v>10</v>
      </c>
      <c r="I38" s="26">
        <v>5400000000000</v>
      </c>
      <c r="J38" s="19">
        <v>3</v>
      </c>
      <c r="K38" s="23">
        <v>330000000000</v>
      </c>
      <c r="L38" s="17">
        <v>-1.2</v>
      </c>
      <c r="M38" s="40">
        <v>20</v>
      </c>
    </row>
    <row r="39" spans="5:13">
      <c r="E39" s="2" t="s">
        <v>271</v>
      </c>
      <c r="F39" s="4">
        <v>1200000000000</v>
      </c>
      <c r="G39" s="1">
        <v>200000000000</v>
      </c>
      <c r="H39" s="40">
        <v>10</v>
      </c>
      <c r="I39" s="22">
        <v>5400000000000</v>
      </c>
      <c r="J39" s="2">
        <v>1</v>
      </c>
      <c r="K39" s="23">
        <v>330000000000</v>
      </c>
      <c r="L39" s="39">
        <v>-1.3</v>
      </c>
      <c r="M39" s="40">
        <v>20</v>
      </c>
    </row>
    <row r="40" spans="5:13">
      <c r="E40" s="2" t="s">
        <v>272</v>
      </c>
      <c r="F40" s="4">
        <v>1300000000000</v>
      </c>
      <c r="G40" s="24">
        <v>300000000000</v>
      </c>
      <c r="H40" s="40">
        <v>10</v>
      </c>
      <c r="I40" s="1">
        <v>5200000000000</v>
      </c>
      <c r="J40" s="18">
        <v>2</v>
      </c>
      <c r="K40" s="23">
        <v>330000000000</v>
      </c>
      <c r="L40" s="39">
        <v>-1.3</v>
      </c>
      <c r="M40" s="40">
        <v>20</v>
      </c>
    </row>
    <row r="41" spans="5:13">
      <c r="E41" s="2" t="s">
        <v>273</v>
      </c>
      <c r="F41" s="4">
        <v>1300000000000</v>
      </c>
      <c r="G41" s="24">
        <v>300000000000</v>
      </c>
      <c r="H41" s="40">
        <v>10</v>
      </c>
      <c r="I41" s="21">
        <v>5300000000000</v>
      </c>
      <c r="J41" s="19">
        <v>3</v>
      </c>
      <c r="K41" s="23">
        <v>330000000000</v>
      </c>
      <c r="L41" s="39">
        <v>-1.3</v>
      </c>
      <c r="M41" s="40">
        <v>20</v>
      </c>
    </row>
    <row r="42" spans="5:13">
      <c r="E42" s="2" t="s">
        <v>274</v>
      </c>
      <c r="F42" s="4">
        <v>1300000000000</v>
      </c>
      <c r="G42" s="24">
        <v>300000000000</v>
      </c>
      <c r="H42" s="40">
        <v>10</v>
      </c>
      <c r="I42" s="26">
        <v>5400000000000</v>
      </c>
      <c r="J42" s="2">
        <v>1</v>
      </c>
      <c r="K42" s="23">
        <v>330000000000</v>
      </c>
      <c r="L42" s="39">
        <v>-1.3</v>
      </c>
      <c r="M42" s="40">
        <v>20</v>
      </c>
    </row>
    <row r="43" spans="5:13">
      <c r="E43" s="2" t="s">
        <v>275</v>
      </c>
      <c r="F43" s="4">
        <v>1300000000000</v>
      </c>
      <c r="G43" s="24">
        <v>300000000000</v>
      </c>
      <c r="H43" s="40">
        <v>10</v>
      </c>
      <c r="I43" s="1">
        <v>5200000000000</v>
      </c>
      <c r="J43" s="18">
        <v>2</v>
      </c>
      <c r="K43" s="25">
        <v>360000000000</v>
      </c>
      <c r="L43" s="39">
        <v>-1.3</v>
      </c>
      <c r="M43" s="40">
        <v>20</v>
      </c>
    </row>
    <row r="44" spans="5:13">
      <c r="E44" s="2" t="s">
        <v>276</v>
      </c>
      <c r="F44" s="4">
        <v>1400000000000</v>
      </c>
      <c r="G44" s="24">
        <v>300000000000</v>
      </c>
      <c r="H44" s="40">
        <v>10</v>
      </c>
      <c r="I44" s="21">
        <v>5300000000000</v>
      </c>
      <c r="J44" s="19">
        <v>3</v>
      </c>
      <c r="K44" s="25">
        <v>360000000000</v>
      </c>
      <c r="L44" s="39">
        <v>-1.3</v>
      </c>
      <c r="M44" s="40">
        <v>20</v>
      </c>
    </row>
    <row r="45" spans="5:13">
      <c r="E45" s="39" t="s">
        <v>278</v>
      </c>
      <c r="F45" s="1">
        <v>1100000000000</v>
      </c>
      <c r="G45" s="1">
        <v>200000000000</v>
      </c>
      <c r="H45" s="40">
        <v>10</v>
      </c>
      <c r="I45" s="1">
        <v>5200000000000</v>
      </c>
      <c r="J45" s="2">
        <v>1</v>
      </c>
      <c r="K45">
        <f>311000000000</f>
        <v>311000000000</v>
      </c>
      <c r="L45" s="2">
        <v>-1.1000000000000001</v>
      </c>
      <c r="M45" s="40">
        <v>20</v>
      </c>
    </row>
    <row r="46" spans="5:13">
      <c r="E46" s="39" t="s">
        <v>279</v>
      </c>
      <c r="F46" s="1">
        <v>1100000000000</v>
      </c>
      <c r="G46" s="1">
        <v>200000000000</v>
      </c>
      <c r="H46" s="40">
        <v>10</v>
      </c>
      <c r="I46" s="21">
        <v>5300000000000</v>
      </c>
      <c r="J46" s="18">
        <v>2</v>
      </c>
      <c r="K46">
        <f>311000000000</f>
        <v>311000000000</v>
      </c>
      <c r="L46" s="2">
        <v>-1.1000000000000001</v>
      </c>
      <c r="M46" s="40">
        <v>20</v>
      </c>
    </row>
    <row r="47" spans="5:13">
      <c r="E47" s="39" t="s">
        <v>280</v>
      </c>
      <c r="F47" s="1">
        <v>1100000000000</v>
      </c>
      <c r="G47" s="1">
        <v>200000000000</v>
      </c>
      <c r="H47" s="40">
        <v>10</v>
      </c>
      <c r="I47" s="26">
        <v>5400000000000</v>
      </c>
      <c r="J47">
        <v>3</v>
      </c>
      <c r="K47">
        <f>311000000000</f>
        <v>311000000000</v>
      </c>
      <c r="L47" s="17">
        <v>-1.2</v>
      </c>
      <c r="M47" s="40">
        <v>20</v>
      </c>
    </row>
    <row r="48" spans="5:13">
      <c r="E48" s="39" t="s">
        <v>281</v>
      </c>
      <c r="F48" s="4">
        <v>1200000000000</v>
      </c>
      <c r="G48" s="1">
        <v>200000000000</v>
      </c>
      <c r="H48" s="40">
        <v>10</v>
      </c>
      <c r="I48" s="1">
        <v>5200000000000</v>
      </c>
      <c r="J48" s="2">
        <v>1</v>
      </c>
      <c r="K48" s="23">
        <v>330000000000</v>
      </c>
      <c r="L48" s="17">
        <v>-1.2</v>
      </c>
      <c r="M48" s="40">
        <v>20</v>
      </c>
    </row>
    <row r="49" spans="5:13">
      <c r="E49" s="39" t="s">
        <v>282</v>
      </c>
      <c r="F49" s="4">
        <v>1200000000000</v>
      </c>
      <c r="G49" s="1">
        <v>200000000000</v>
      </c>
      <c r="H49" s="40">
        <v>10</v>
      </c>
      <c r="I49" s="21">
        <v>5300000000000</v>
      </c>
      <c r="J49" s="18">
        <v>2</v>
      </c>
      <c r="K49" s="23">
        <v>330000000000</v>
      </c>
      <c r="L49" s="17">
        <v>-1.2</v>
      </c>
      <c r="M49" s="40">
        <v>20</v>
      </c>
    </row>
    <row r="50" spans="5:13">
      <c r="E50" s="39" t="s">
        <v>283</v>
      </c>
      <c r="F50" s="4">
        <v>1200000000000</v>
      </c>
      <c r="G50" s="1">
        <v>200000000000</v>
      </c>
      <c r="H50" s="40">
        <v>10</v>
      </c>
      <c r="I50" s="26">
        <v>5400000000000</v>
      </c>
      <c r="J50" s="19">
        <v>3</v>
      </c>
      <c r="K50" s="23">
        <v>330000000000</v>
      </c>
      <c r="L50" s="17">
        <v>-1.2</v>
      </c>
      <c r="M50" s="40">
        <v>20</v>
      </c>
    </row>
    <row r="51" spans="5:13">
      <c r="E51" s="39" t="s">
        <v>284</v>
      </c>
      <c r="F51" s="4">
        <v>1200000000000</v>
      </c>
      <c r="G51" s="1">
        <v>200000000000</v>
      </c>
      <c r="H51" s="40">
        <v>10</v>
      </c>
      <c r="I51" s="22">
        <v>5400000000000</v>
      </c>
      <c r="J51" s="2">
        <v>1</v>
      </c>
      <c r="K51" s="23">
        <v>330000000000</v>
      </c>
      <c r="L51" s="39">
        <v>-1.3</v>
      </c>
      <c r="M51" s="40">
        <v>20</v>
      </c>
    </row>
    <row r="52" spans="5:13">
      <c r="E52" s="39" t="s">
        <v>285</v>
      </c>
      <c r="F52" s="4">
        <v>1300000000000</v>
      </c>
      <c r="G52" s="24">
        <v>300000000000</v>
      </c>
      <c r="H52" s="40">
        <v>10</v>
      </c>
      <c r="I52" s="1">
        <v>5200000000000</v>
      </c>
      <c r="J52" s="18">
        <v>2</v>
      </c>
      <c r="K52" s="23">
        <v>330000000000</v>
      </c>
      <c r="L52" s="39">
        <v>-1.3</v>
      </c>
      <c r="M52" s="40">
        <v>20</v>
      </c>
    </row>
    <row r="53" spans="5:13">
      <c r="E53" s="39" t="s">
        <v>286</v>
      </c>
      <c r="F53" s="4">
        <v>1300000000000</v>
      </c>
      <c r="G53" s="24">
        <v>300000000000</v>
      </c>
      <c r="H53" s="40">
        <v>10</v>
      </c>
      <c r="I53" s="21">
        <v>5300000000000</v>
      </c>
      <c r="J53" s="19">
        <v>3</v>
      </c>
      <c r="K53" s="23">
        <v>330000000000</v>
      </c>
      <c r="L53" s="39">
        <v>-1.3</v>
      </c>
      <c r="M53" s="40">
        <v>20</v>
      </c>
    </row>
    <row r="54" spans="5:13">
      <c r="E54" s="39" t="s">
        <v>287</v>
      </c>
      <c r="F54" s="4">
        <v>1300000000000</v>
      </c>
      <c r="G54" s="24">
        <v>300000000000</v>
      </c>
      <c r="H54" s="40">
        <v>10</v>
      </c>
      <c r="I54" s="26">
        <v>5400000000000</v>
      </c>
      <c r="J54" s="2">
        <v>1</v>
      </c>
      <c r="K54" s="23">
        <v>330000000000</v>
      </c>
      <c r="L54" s="39">
        <v>-1.3</v>
      </c>
      <c r="M54" s="40">
        <v>20</v>
      </c>
    </row>
    <row r="55" spans="5:13">
      <c r="E55" s="39" t="s">
        <v>288</v>
      </c>
      <c r="F55" s="4">
        <v>1300000000000</v>
      </c>
      <c r="G55" s="24">
        <v>300000000000</v>
      </c>
      <c r="H55" s="40">
        <v>10</v>
      </c>
      <c r="I55" s="1">
        <v>5200000000000</v>
      </c>
      <c r="J55" s="18">
        <v>2</v>
      </c>
      <c r="K55" s="25">
        <v>360000000000</v>
      </c>
      <c r="L55" s="39">
        <v>-1.3</v>
      </c>
      <c r="M55" s="40">
        <v>20</v>
      </c>
    </row>
    <row r="56" spans="5:13">
      <c r="E56" s="39" t="s">
        <v>289</v>
      </c>
      <c r="F56" s="4">
        <v>1400000000000</v>
      </c>
      <c r="G56" s="24">
        <v>300000000000</v>
      </c>
      <c r="H56" s="40">
        <v>10</v>
      </c>
      <c r="I56" s="21">
        <v>5300000000000</v>
      </c>
      <c r="J56" s="19">
        <v>3</v>
      </c>
      <c r="K56" s="25">
        <v>360000000000</v>
      </c>
      <c r="L56" s="39">
        <v>-1.3</v>
      </c>
      <c r="M56" s="40">
        <v>20</v>
      </c>
    </row>
    <row r="60" spans="5:13">
      <c r="E60" t="s">
        <v>290</v>
      </c>
    </row>
    <row r="61" spans="5:13">
      <c r="F61" t="s">
        <v>256</v>
      </c>
      <c r="G61" t="s">
        <v>256</v>
      </c>
      <c r="H61" t="s">
        <v>257</v>
      </c>
      <c r="I61" t="s">
        <v>257</v>
      </c>
      <c r="J61" t="s">
        <v>257</v>
      </c>
      <c r="K61" t="s">
        <v>257</v>
      </c>
      <c r="L61" t="s">
        <v>257</v>
      </c>
      <c r="M61" t="s">
        <v>256</v>
      </c>
    </row>
    <row r="62" spans="5:13">
      <c r="F62" t="s">
        <v>258</v>
      </c>
      <c r="G62" t="s">
        <v>259</v>
      </c>
      <c r="H62" t="s">
        <v>260</v>
      </c>
      <c r="I62" t="s">
        <v>258</v>
      </c>
      <c r="J62" t="s">
        <v>261</v>
      </c>
      <c r="K62" t="s">
        <v>262</v>
      </c>
      <c r="L62" t="s">
        <v>263</v>
      </c>
      <c r="M62" t="s">
        <v>264</v>
      </c>
    </row>
    <row r="63" spans="5:13">
      <c r="F63" t="s">
        <v>128</v>
      </c>
      <c r="G63" t="s">
        <v>128</v>
      </c>
      <c r="H63" t="s">
        <v>128</v>
      </c>
      <c r="I63" t="s">
        <v>129</v>
      </c>
      <c r="J63" t="s">
        <v>128</v>
      </c>
      <c r="K63" t="s">
        <v>129</v>
      </c>
      <c r="L63" t="s">
        <v>128</v>
      </c>
      <c r="M63" t="s">
        <v>128</v>
      </c>
    </row>
    <row r="64" spans="5:13">
      <c r="E64" s="2" t="s">
        <v>12</v>
      </c>
      <c r="F64" s="2" t="s">
        <v>103</v>
      </c>
      <c r="G64" s="2" t="s">
        <v>104</v>
      </c>
      <c r="H64" s="2" t="s">
        <v>105</v>
      </c>
      <c r="I64" s="2" t="s">
        <v>106</v>
      </c>
      <c r="J64" s="2" t="s">
        <v>107</v>
      </c>
      <c r="K64" s="2" t="s">
        <v>108</v>
      </c>
      <c r="L64" s="2" t="s">
        <v>109</v>
      </c>
      <c r="M64" s="2" t="s">
        <v>110</v>
      </c>
    </row>
    <row r="65" spans="5:13">
      <c r="E65" s="2" t="s">
        <v>145</v>
      </c>
      <c r="F65" s="1">
        <v>1100000000000</v>
      </c>
      <c r="G65" s="1">
        <v>200000000000</v>
      </c>
      <c r="H65" s="2">
        <v>1</v>
      </c>
      <c r="I65" s="1">
        <v>5200000000000</v>
      </c>
      <c r="J65" s="2">
        <v>1</v>
      </c>
      <c r="K65">
        <f>311000000000</f>
        <v>311000000000</v>
      </c>
      <c r="L65" s="2">
        <v>-1.1000000000000001</v>
      </c>
      <c r="M65" s="2">
        <v>2</v>
      </c>
    </row>
    <row r="66" spans="5:13">
      <c r="E66" s="2" t="s">
        <v>16</v>
      </c>
      <c r="F66" s="1">
        <v>1100000000000</v>
      </c>
      <c r="G66" s="1">
        <v>200000000000</v>
      </c>
      <c r="H66" s="2">
        <v>1</v>
      </c>
      <c r="I66" s="21">
        <v>5300000000000</v>
      </c>
      <c r="J66" s="18">
        <v>2</v>
      </c>
      <c r="K66">
        <f>311000000000</f>
        <v>311000000000</v>
      </c>
      <c r="L66" s="2">
        <v>-1.1000000000000001</v>
      </c>
      <c r="M66" s="2">
        <v>2</v>
      </c>
    </row>
    <row r="67" spans="5:13">
      <c r="E67" s="2" t="s">
        <v>17</v>
      </c>
      <c r="F67" s="1">
        <v>1100000000000</v>
      </c>
      <c r="G67" s="1">
        <v>200000000000</v>
      </c>
      <c r="H67" s="2">
        <v>1</v>
      </c>
      <c r="I67" s="26">
        <v>5400000000000</v>
      </c>
      <c r="J67">
        <v>3</v>
      </c>
      <c r="K67">
        <f>311000000000</f>
        <v>311000000000</v>
      </c>
      <c r="L67" s="17">
        <v>-1.2</v>
      </c>
      <c r="M67" s="2">
        <v>2</v>
      </c>
    </row>
    <row r="68" spans="5:13">
      <c r="E68" s="2" t="s">
        <v>291</v>
      </c>
      <c r="F68" s="4">
        <v>1200000000000</v>
      </c>
      <c r="G68" s="1">
        <v>200000000000</v>
      </c>
      <c r="H68" s="2">
        <v>1</v>
      </c>
      <c r="I68" s="1">
        <v>5200000000000</v>
      </c>
      <c r="J68" s="2">
        <v>1</v>
      </c>
      <c r="K68" s="23">
        <v>330000000000</v>
      </c>
      <c r="L68" s="17">
        <v>-1.2</v>
      </c>
      <c r="M68" s="2">
        <v>2</v>
      </c>
    </row>
    <row r="69" spans="5:13">
      <c r="E69" s="2" t="s">
        <v>269</v>
      </c>
      <c r="F69" s="4">
        <v>1200000000000</v>
      </c>
      <c r="G69" s="1">
        <v>200000000000</v>
      </c>
      <c r="H69" s="2">
        <v>1</v>
      </c>
      <c r="I69" s="21">
        <v>5300000000000</v>
      </c>
      <c r="J69" s="18">
        <v>2</v>
      </c>
      <c r="K69" s="23">
        <v>330000000000</v>
      </c>
      <c r="L69" s="17">
        <v>-1.2</v>
      </c>
      <c r="M69" s="2">
        <v>2</v>
      </c>
    </row>
    <row r="70" spans="5:13">
      <c r="E70" s="2" t="s">
        <v>270</v>
      </c>
      <c r="F70" s="4">
        <v>1200000000000</v>
      </c>
      <c r="G70" s="1">
        <v>200000000000</v>
      </c>
      <c r="H70" s="2">
        <v>1</v>
      </c>
      <c r="I70" s="26">
        <v>5400000000000</v>
      </c>
      <c r="J70" s="19">
        <v>3</v>
      </c>
      <c r="K70" s="23">
        <v>330000000000</v>
      </c>
      <c r="L70" s="17">
        <v>-1.2</v>
      </c>
      <c r="M70" s="2">
        <v>2</v>
      </c>
    </row>
    <row r="71" spans="5:13">
      <c r="E71" s="2" t="s">
        <v>271</v>
      </c>
      <c r="F71" s="4">
        <v>1200000000000</v>
      </c>
      <c r="G71" s="1">
        <v>200000000000</v>
      </c>
      <c r="H71" s="2">
        <v>1</v>
      </c>
      <c r="I71" s="22">
        <v>5400000000000</v>
      </c>
      <c r="J71" s="2">
        <v>1</v>
      </c>
      <c r="K71" s="23">
        <v>330000000000</v>
      </c>
      <c r="L71" s="39">
        <v>-1.3</v>
      </c>
      <c r="M71" s="2">
        <v>2</v>
      </c>
    </row>
    <row r="72" spans="5:13">
      <c r="E72" s="2" t="s">
        <v>272</v>
      </c>
      <c r="F72" s="4">
        <v>1300000000000</v>
      </c>
      <c r="G72" s="24">
        <v>300000000000</v>
      </c>
      <c r="H72" s="2">
        <v>1</v>
      </c>
      <c r="I72" s="1">
        <v>5200000000000</v>
      </c>
      <c r="J72" s="18">
        <v>2</v>
      </c>
      <c r="K72" s="23">
        <v>330000000000</v>
      </c>
      <c r="L72" s="39">
        <v>-1.3</v>
      </c>
      <c r="M72" s="2">
        <v>2</v>
      </c>
    </row>
    <row r="73" spans="5:13">
      <c r="E73" s="2" t="s">
        <v>273</v>
      </c>
      <c r="F73" s="4">
        <v>1300000000000</v>
      </c>
      <c r="G73" s="24">
        <v>300000000000</v>
      </c>
      <c r="H73" s="2">
        <v>1</v>
      </c>
      <c r="I73" s="21">
        <v>5300000000000</v>
      </c>
      <c r="J73" s="19">
        <v>3</v>
      </c>
      <c r="K73" s="23">
        <v>330000000000</v>
      </c>
      <c r="L73" s="39">
        <v>-1.3</v>
      </c>
      <c r="M73" s="2">
        <v>2</v>
      </c>
    </row>
    <row r="74" spans="5:13">
      <c r="E74" s="2" t="s">
        <v>274</v>
      </c>
      <c r="F74" s="4">
        <v>1300000000000</v>
      </c>
      <c r="G74" s="24">
        <v>300000000000</v>
      </c>
      <c r="H74" s="2">
        <v>1</v>
      </c>
      <c r="I74" s="26">
        <v>5400000000000</v>
      </c>
      <c r="J74" s="2">
        <v>1</v>
      </c>
      <c r="K74" s="23">
        <v>330000000000</v>
      </c>
      <c r="L74" s="39">
        <v>-1.3</v>
      </c>
      <c r="M74" s="2">
        <v>2</v>
      </c>
    </row>
    <row r="75" spans="5:13">
      <c r="E75" s="2" t="s">
        <v>292</v>
      </c>
      <c r="F75" s="4">
        <v>1300000000000</v>
      </c>
      <c r="G75" s="24">
        <v>300000000000</v>
      </c>
      <c r="H75" s="2">
        <v>1</v>
      </c>
      <c r="I75" s="1">
        <v>5200000000000</v>
      </c>
      <c r="J75" s="18">
        <v>2</v>
      </c>
      <c r="K75" s="25">
        <v>360000000000</v>
      </c>
      <c r="L75" s="39">
        <v>-1.3</v>
      </c>
      <c r="M75" s="2">
        <v>2</v>
      </c>
    </row>
    <row r="76" spans="5:13">
      <c r="E76" s="2" t="s">
        <v>293</v>
      </c>
      <c r="F76" s="4">
        <v>1400000000000</v>
      </c>
      <c r="G76" s="24">
        <v>300000000000</v>
      </c>
      <c r="H76" s="2">
        <v>1</v>
      </c>
      <c r="I76" s="21">
        <v>5300000000000</v>
      </c>
      <c r="J76" s="19">
        <v>3</v>
      </c>
      <c r="K76" s="25">
        <v>360000000000</v>
      </c>
      <c r="L76" s="39">
        <v>-1.3</v>
      </c>
      <c r="M76" s="2">
        <v>2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グラフ作成</vt:lpstr>
      <vt:lpstr>条件表</vt:lpstr>
      <vt:lpstr>設定ファイル</vt:lpstr>
      <vt:lpstr>DataTable</vt:lpstr>
      <vt:lpstr>bck_DataTable_歯抜けなし</vt:lpstr>
      <vt:lpstr>サマリ</vt:lpstr>
      <vt:lpstr>BCK_サマリ</vt:lpstr>
      <vt:lpstr>散布図</vt:lpstr>
      <vt:lpstr>サマリ対象</vt:lpstr>
      <vt:lpstr>BCK_散布図</vt:lpstr>
      <vt:lpstr>例_散布図</vt:lpstr>
      <vt:lpstr>work_template</vt:lpstr>
      <vt:lpstr>work_jyoken</vt:lpstr>
      <vt:lpstr>work_summary</vt:lpstr>
      <vt:lpstr>work_graph</vt:lpstr>
      <vt:lpstr>work_scatter1</vt:lpstr>
      <vt:lpstr>例_グラフ背景塗りつぶし</vt:lpstr>
      <vt:lpstr>例_グラフ背景塗りつぶし_y範囲</vt:lpstr>
      <vt:lpstr>例_グラフ背景塗りつぶし_x範囲</vt:lpstr>
      <vt:lpstr>src_jyoken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kuroda</dc:creator>
  <cp:lastModifiedBy>kuroda</cp:lastModifiedBy>
  <dcterms:created xsi:type="dcterms:W3CDTF">2015-06-05T18:19:34Z</dcterms:created>
  <dcterms:modified xsi:type="dcterms:W3CDTF">2021-09-02T05:29:37Z</dcterms:modified>
</cp:coreProperties>
</file>