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2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2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2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3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3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34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35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36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37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3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640675BE-20F2-4D7A-9415-958F274A5C5A}" xr6:coauthVersionLast="47" xr6:coauthVersionMax="47" xr10:uidLastSave="{00000000-0000-0000-0000-000000000000}"/>
  <bookViews>
    <workbookView xWindow="-120" yWindow="-120" windowWidth="24240" windowHeight="13140" firstSheet="2" activeTab="5" xr2:uid="{00000000-000D-0000-FFFF-FFFF00000000}"/>
  </bookViews>
  <sheets>
    <sheet name="グラフ作成" sheetId="6" r:id="rId1"/>
    <sheet name="条件表" sheetId="3" r:id="rId2"/>
    <sheet name="設定ファイル" sheetId="51" r:id="rId3"/>
    <sheet name="DataTable" sheetId="65" r:id="rId4"/>
    <sheet name="bck_DataTable_歯抜けなし" sheetId="59" r:id="rId5"/>
    <sheet name="サマリ" sheetId="16" r:id="rId6"/>
    <sheet name="BCK_サマリ" sheetId="43" r:id="rId7"/>
    <sheet name="散布図" sheetId="8" r:id="rId8"/>
    <sheet name="old_サマリ対象" sheetId="54" r:id="rId9"/>
    <sheet name="BCK_散布図" sheetId="44" r:id="rId10"/>
    <sheet name="例_散布図" sheetId="4" r:id="rId11"/>
    <sheet name="work_template" sheetId="42" r:id="rId12"/>
    <sheet name="work_jyoken" sheetId="12" r:id="rId13"/>
    <sheet name="work_summary" sheetId="60" r:id="rId14"/>
    <sheet name="work_graph" sheetId="7" r:id="rId15"/>
    <sheet name="work_scatter1" sheetId="13" r:id="rId16"/>
    <sheet name="例_グラフ背景塗りつぶし" sheetId="55" r:id="rId17"/>
    <sheet name="例_グラフ背景塗りつぶし_y範囲" sheetId="56" r:id="rId18"/>
    <sheet name="例_グラフ背景塗りつぶし_x範囲" sheetId="57" r:id="rId19"/>
    <sheet name="例_グラフ背景塗りつぶし_散布図" sheetId="69" r:id="rId20"/>
    <sheet name="src_jyoken" sheetId="67" r:id="rId21"/>
  </sheets>
  <functionGroups builtInGroupCount="19"/>
  <definedNames>
    <definedName name="_xlnm._FilterDatabase" localSheetId="4" hidden="1">bck_DataTable_歯抜けなし!$F$1:$Q$16</definedName>
    <definedName name="_xlnm._FilterDatabase" localSheetId="9" hidden="1">BCK_散布図!#REF!</definedName>
    <definedName name="_xlnm._FilterDatabase" localSheetId="3" hidden="1">DataTable!$F$1:$Q$16</definedName>
    <definedName name="_xlnm._FilterDatabase" localSheetId="15" hidden="1">work_scatter1!#REF!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7" i="67" l="1"/>
  <c r="K66" i="67"/>
  <c r="K65" i="67"/>
  <c r="K47" i="67"/>
  <c r="K46" i="67"/>
  <c r="K45" i="67"/>
  <c r="K35" i="67"/>
  <c r="K34" i="67"/>
  <c r="K33" i="67"/>
  <c r="K32" i="67"/>
  <c r="K31" i="67"/>
  <c r="K30" i="67"/>
  <c r="K13" i="67"/>
  <c r="K12" i="67"/>
  <c r="K11" i="67"/>
  <c r="D7" i="65"/>
  <c r="D6" i="65"/>
  <c r="D5" i="65"/>
  <c r="D7" i="59"/>
  <c r="D6" i="59"/>
  <c r="D5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666D1E18-9601-4E80-8921-8C7268E13FE1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<sst xmlns="http://schemas.openxmlformats.org/spreadsheetml/2006/main" count="1243" uniqueCount="315">
  <si>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</si>
  <si>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</si>
  <si>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</si>
  <si>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</si>
  <si>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</si>
  <si>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</si>
  <si>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</si>
  <si>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</si>
  <si>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</si>
  <si>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</si>
  <si>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</si>
  <si>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</si>
  <si>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</si>
  <si>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</si>
  <si>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</si>
  <si>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</si>
  <si>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</si>
  <si>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</si>
  <si>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</si>
  <si>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</si>
  <si>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</si>
  <si>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</si>
  <si>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</si>
  <si>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</si>
  <si>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</si>
  <si>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</si>
  <si>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</si>
  <si>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</si>
  <si>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</si>
  <si>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</si>
  <si>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</si>
  <si>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</si>
  <si>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</si>
  <si>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</si>
  <si>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</si>
  <si>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</si>
  <si>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</si>
  <si>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</si>
  <si>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</si>
  <si>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</si>
  <si>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</si>
  <si>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</si>
  <si>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</si>
  <si>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</si>
  <si>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</si>
  <si>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</si>
  <si>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</si>
  <si>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</si>
  <si>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</si>
  <si>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</si>
  <si>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</si>
  <si>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</si>
  <si>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</si>
  <si>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</si>
  <si>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</si>
  <si>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</si>
  <si>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</si>
  <si>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</si>
  <si>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</si>
  <si>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</si>
  <si>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</si>
  <si>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</si>
  <si>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</si>
  <si>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</si>
  <si>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</si>
  <si>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</si>
  <si>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</si>
  <si>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</si>
  <si>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</si>
  <si>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</si>
  <si>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</si>
  <si>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</si>
  <si>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</si>
  <si>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</si>
  <si>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</si>
  <si>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</si>
  <si>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</si>
  <si>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</si>
  <si>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</si>
  <si>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</si>
  <si>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</si>
  <si>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</si>
  <si>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</si>
  <si>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</si>
  <si>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</si>
  <si>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</si>
  <si>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</si>
  <si>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</si>
  <si>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</si>
  <si>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</si>
  <si>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</si>
  <si>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</si>
  <si>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</si>
  <si>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</si>
  <si>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</si>
  <si>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</si>
  <si>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</si>
  <si>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</si>
  <si>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</si>
  <si>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</si>
  <si>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</si>
  <si>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</si>
  <si>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</si>
  <si>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</si>
  <si>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</si>
  <si>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</si>
  <si>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</si>
  <si>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</si>
  <si>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</si>
  <si>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</si>
  <si>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</si>
  <si>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</si>
  <si>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</si>
  <si>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CWL1_dose</t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</si>
  <si>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</si>
  <si>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</si>
  <si>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</si>
  <si>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</si>
  <si>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</si>
  <si>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</si>
  <si>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</si>
  <si>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</si>
  <si>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</si>
  <si>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</si>
  <si>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</si>
  <si>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</si>
  <si>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</si>
  <si>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</si>
  <si>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e12</t>
    <phoneticPr fontId="1"/>
  </si>
  <si>
    <t>e11</t>
    <phoneticPr fontId="1"/>
  </si>
  <si>
    <t>C:\kuroda\work\00_TCAD\20210701_PDsim\第1要望_自動グラフ作成_Excelマクロ\デバッグ用_マクロインプットデータ\マクロインプットデータ_設定ファイル.xlsx</t>
    <phoneticPr fontId="1"/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</si>
  <si>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</si>
  <si>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</si>
  <si>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</si>
  <si>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</si>
  <si>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</si>
  <si>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imp01_w1</t>
    <phoneticPr fontId="1"/>
  </si>
  <si>
    <t>imp01_w2</t>
  </si>
  <si>
    <t>imp01_w3</t>
  </si>
  <si>
    <t>imp01_w4</t>
  </si>
  <si>
    <t>imp01_w5</t>
  </si>
  <si>
    <t>imp01_w6</t>
  </si>
  <si>
    <t>サマリグラフ作成するもの一覧を書いてください。</t>
  </si>
  <si>
    <t>デフォルトは、SPEED DataTableの特性全てですが、必要なものだけ残して、対象外項目は削除して下さい。</t>
  </si>
  <si>
    <t>グラフ作成_散布図_Y軸_ユーザー選択</t>
  </si>
  <si>
    <t>imp01</t>
    <phoneticPr fontId="1"/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</si>
  <si>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</si>
  <si>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</si>
  <si>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</si>
  <si>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</si>
  <si>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</si>
  <si>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</si>
  <si>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</si>
  <si>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</si>
  <si>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</si>
  <si>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</si>
  <si>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</si>
  <si>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</si>
  <si>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</si>
  <si>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</si>
  <si>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</si>
  <si>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</si>
  <si>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</si>
  <si>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</si>
  <si>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</si>
  <si>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</si>
  <si>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</si>
  <si>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</si>
  <si>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</si>
  <si>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</si>
  <si>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</si>
  <si>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</si>
  <si>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</si>
  <si>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</si>
  <si>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</si>
  <si>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</si>
  <si>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</si>
  <si>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</si>
  <si>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</si>
  <si>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</si>
  <si>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</si>
  <si>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</si>
  <si>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</si>
  <si>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</si>
  <si>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</si>
  <si>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</si>
  <si>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</si>
  <si>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</si>
  <si>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</si>
  <si>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</si>
  <si>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</si>
  <si>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Field</t>
  </si>
  <si>
    <t>Unit</t>
  </si>
  <si>
    <t>x</t>
  </si>
  <si>
    <t>group</t>
  </si>
  <si>
    <t>01_TGoff_Extract7</t>
    <phoneticPr fontId="1"/>
  </si>
  <si>
    <t>01_TGon_Extract4</t>
    <phoneticPr fontId="1"/>
  </si>
  <si>
    <t>01_TGoff_Extract1</t>
    <phoneticPr fontId="1"/>
  </si>
  <si>
    <t>jyoken</t>
  </si>
  <si>
    <t>y_01_TGoff_Extract1</t>
  </si>
  <si>
    <t>y_01_TGon_Extract4</t>
  </si>
  <si>
    <t>y_01_TGoff_Extract7</t>
  </si>
  <si>
    <t>y_03_Qs_Extract2</t>
  </si>
  <si>
    <t>NAME</t>
  </si>
  <si>
    <t>filter</t>
  </si>
  <si>
    <t>Y軸=toku1 :01_TGoff_Extract1</t>
  </si>
  <si>
    <t>Y軸=tokuA :01_TGon_Extract4</t>
  </si>
  <si>
    <t>Y軸=SRpot :01_TGoff_Extract7</t>
  </si>
  <si>
    <t>Y軸=Qs02 :03_Qs_Extract2</t>
  </si>
  <si>
    <t>Mode</t>
  </si>
  <si>
    <t>PLT|EXT</t>
  </si>
  <si>
    <t>Name</t>
  </si>
  <si>
    <t>Object</t>
  </si>
  <si>
    <t>VMAX</t>
  </si>
  <si>
    <t>VMIN</t>
  </si>
  <si>
    <t>NSADDLE</t>
  </si>
  <si>
    <t>■　サマリ対象</t>
  </si>
  <si>
    <t>グラフ作成対象が多すぎると,処理が失敗することがあります。（目安グラフ100個以上が限度ですが、PCメモリ状況次第)</t>
  </si>
  <si>
    <t>C:\kuroda\work\00_TCAD\20210701_PDsim\第1要望_自動グラフ作成_Excelマクロ\デバッグ用_マクロインプットデータ\マクロインプットデータ_speedData.xlsx</t>
    <phoneticPr fontId="1"/>
  </si>
  <si>
    <t>グラフ作成_散布図_X軸コンボボックス_ユーザー選択</t>
    <phoneticPr fontId="1"/>
  </si>
  <si>
    <t>Extract8</t>
  </si>
  <si>
    <t>Extract9</t>
  </si>
  <si>
    <t>Extract12</t>
  </si>
  <si>
    <t>Extract13</t>
  </si>
  <si>
    <t>Extract14</t>
  </si>
  <si>
    <t>TEST02</t>
  </si>
  <si>
    <t>TEST03</t>
  </si>
  <si>
    <t>TEST04</t>
  </si>
  <si>
    <t>TEST05</t>
  </si>
  <si>
    <t>TEST06</t>
  </si>
  <si>
    <t>TEST07</t>
  </si>
  <si>
    <t>TEST08</t>
  </si>
  <si>
    <t>TEST09</t>
  </si>
  <si>
    <t>TEST10</t>
  </si>
  <si>
    <t>TEST11</t>
  </si>
  <si>
    <t>TEST12</t>
  </si>
  <si>
    <t>TEST13</t>
  </si>
  <si>
    <t>99_TEST</t>
    <phoneticPr fontId="1"/>
  </si>
  <si>
    <t>100_TEST</t>
  </si>
  <si>
    <t>101_TEST</t>
  </si>
  <si>
    <t>102_TEST</t>
  </si>
  <si>
    <t>103_TEST</t>
  </si>
  <si>
    <t>104_TEST</t>
  </si>
  <si>
    <t>105_TEST</t>
  </si>
  <si>
    <t>106_TEST</t>
  </si>
  <si>
    <t>107_TEST</t>
  </si>
  <si>
    <t>108_TEST</t>
  </si>
  <si>
    <t>109_TEST</t>
  </si>
  <si>
    <t>110_TEST</t>
  </si>
  <si>
    <t>111_TEST</t>
  </si>
  <si>
    <t>TEST</t>
    <phoneticPr fontId="1"/>
  </si>
  <si>
    <t>条件表1</t>
    <rPh sb="0" eb="2">
      <t>ジョウケン</t>
    </rPh>
    <rPh sb="2" eb="3">
      <t>ヒョウ</t>
    </rPh>
    <phoneticPr fontId="1"/>
  </si>
  <si>
    <t>コメント</t>
    <phoneticPr fontId="1"/>
  </si>
  <si>
    <t>As</t>
    <phoneticPr fontId="1"/>
  </si>
  <si>
    <t>B</t>
    <phoneticPr fontId="1"/>
  </si>
  <si>
    <t>300kev</t>
    <phoneticPr fontId="1"/>
  </si>
  <si>
    <t>100kev</t>
    <phoneticPr fontId="1"/>
  </si>
  <si>
    <t>200kev</t>
    <phoneticPr fontId="1"/>
  </si>
  <si>
    <t>1000kev</t>
    <phoneticPr fontId="1"/>
  </si>
  <si>
    <t>30kev</t>
    <phoneticPr fontId="1"/>
  </si>
  <si>
    <t>150kev</t>
    <phoneticPr fontId="1"/>
  </si>
  <si>
    <t>1200kev</t>
    <phoneticPr fontId="1"/>
  </si>
  <si>
    <t>01_TGoff/imp01</t>
  </si>
  <si>
    <t>01_TGoff/imp02</t>
  </si>
  <si>
    <t>01_TGoff/imp03</t>
  </si>
  <si>
    <t>01_TGon/imp04</t>
  </si>
  <si>
    <t>01_TGon/imp05</t>
  </si>
  <si>
    <t>01_TGon/imp06</t>
  </si>
  <si>
    <t>01_TGon/imp07</t>
  </si>
  <si>
    <t>01_TGon/imp08</t>
  </si>
  <si>
    <t>01_TGon/imp09</t>
  </si>
  <si>
    <t>01_TGon/imp10</t>
  </si>
  <si>
    <t>01_TGon/imp11</t>
  </si>
  <si>
    <t>01_TGon/imp12</t>
  </si>
  <si>
    <t>条件表2 　重複あり</t>
    <rPh sb="0" eb="2">
      <t>ジョウケン</t>
    </rPh>
    <rPh sb="2" eb="3">
      <t>ヒョウ</t>
    </rPh>
    <rPh sb="6" eb="8">
      <t>ジュウフク</t>
    </rPh>
    <phoneticPr fontId="1"/>
  </si>
  <si>
    <t>02_TGoff/imp01</t>
  </si>
  <si>
    <t>02_TGoff/imp02</t>
  </si>
  <si>
    <t>02_TGoff/imp03</t>
  </si>
  <si>
    <t>02_TGoff/imp04</t>
  </si>
  <si>
    <t>02_TGoff/imp05</t>
  </si>
  <si>
    <t>02_TGoff/imp06</t>
  </si>
  <si>
    <t>02_TGoff/imp07</t>
  </si>
  <si>
    <t>02_TGoff/imp08</t>
  </si>
  <si>
    <t>02_TGoff/imp09</t>
  </si>
  <si>
    <t>02_TGoff/imp10</t>
  </si>
  <si>
    <t>02_TGoff/imp11</t>
  </si>
  <si>
    <t>02_TGoff/imp12</t>
  </si>
  <si>
    <t>条件表3  speedDataと差異あり</t>
    <rPh sb="0" eb="2">
      <t>ジョウケン</t>
    </rPh>
    <rPh sb="2" eb="3">
      <t>ヒョウ</t>
    </rPh>
    <rPh sb="16" eb="18">
      <t>サイ</t>
    </rPh>
    <phoneticPr fontId="1"/>
  </si>
  <si>
    <t>01_TGon/imp99</t>
    <phoneticPr fontId="1"/>
  </si>
  <si>
    <t>01_TGon/imp11</t>
    <phoneticPr fontId="1"/>
  </si>
  <si>
    <t>01_TGon/imp12</t>
    <phoneticPr fontId="1"/>
  </si>
  <si>
    <t>指定範囲 $E$10:$M$22</t>
    <phoneticPr fontId="1"/>
  </si>
  <si>
    <t>C:\kuroda\work\00_TCAD\20210701_PDsim\第1要望_自動グラフ作成_Excelマクロ\デバッグ用_マクロインプットデータ\マクロインプットデータ_条件表.xlsx</t>
    <phoneticPr fontId="1"/>
  </si>
  <si>
    <t>■サマリグラフ speed - DataTable</t>
  </si>
  <si>
    <t>CWL1_dose =1.10E+12,OFD_dose =3.11E+11,</t>
  </si>
  <si>
    <t>CWL1_dose =1.20E+12,OFD_dose =3.11E+11,</t>
  </si>
  <si>
    <t>CWL1_dose =1.30E+12,OFD_dose =3.11E+11,</t>
  </si>
  <si>
    <t>CWL1_dose =1.10E+12,OFD_dose =3.30E+11,</t>
  </si>
  <si>
    <t>CWL1_dose =1.20E+12,OFD_dose =3.30E+11,</t>
  </si>
  <si>
    <t>CWL1_dose =1.30E+12,OFD_dose =3.30E+11,</t>
  </si>
  <si>
    <t>CWL1_dose =1.10E+12,OFD_dose =3.60E+11,</t>
  </si>
  <si>
    <t>CWL1_dose =1.20E+12,OFD_dose =3.60E+11,</t>
  </si>
  <si>
    <t>CWL1_dose =1.30E+12,OFD_dose =3.60E+11,</t>
  </si>
  <si>
    <t>excelMacro</t>
  </si>
  <si>
    <t>max_graph</t>
  </si>
  <si>
    <t>min_sihyo</t>
  </si>
  <si>
    <t>　</t>
  </si>
  <si>
    <t>max_sihyo</t>
  </si>
  <si>
    <t>min</t>
    <phoneticPr fontId="1"/>
  </si>
  <si>
    <t>middle</t>
    <phoneticPr fontId="1"/>
  </si>
  <si>
    <t>max</t>
    <phoneticPr fontId="1"/>
  </si>
  <si>
    <t>Extract1</t>
  </si>
  <si>
    <t>TEST01</t>
  </si>
  <si>
    <t>03_Qs_Extract2</t>
    <phoneticPr fontId="1"/>
  </si>
  <si>
    <t>■[DEBUG] data_ary内容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</si>
</sst>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</fonts>
  <fills count="2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9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42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0" borderId="0" xfId="0" applyBorder="1"/>
    <xf numFmtId="0" fontId="0" fillId="9" borderId="1" xfId="0" applyFill="1" applyBorder="1"/>
    <xf numFmtId="0" fontId="0" fillId="19" borderId="1" xfId="0" applyFill="1" applyBorder="1"/>
    <xf numFmtId="11" fontId="0" fillId="0" borderId="3" xfId="0" applyNumberFormat="1" applyFill="1" applyBorder="1"/>
  </cellXfs>
  <cellStyles count="3"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FF66FF"/>
      <color rgb="FFFFCCFF"/>
      <color rgb="FF000000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</a:extLst>
          </c:spPr>
          <c:invertIfNegative val="0"/>
          <c:val>
            <c:numRef>
              <c:f>サマリ!$C$9:$C$20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07-4902-B5E6-1D503FCE5098}"/>
            </c:ext>
          </c:extLst>
        </c:ser>
        <c:ser>
          <c:idx val="2"/>
          <c:order val="2"/>
          <c:spPr>
            <a:solidFill>
              <a:srgbClr val="FF66FF">
                <a:alpha val="1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サマリ!$D$9:$D$20</c:f>
              <c:numCache>
                <c:formatCode>General</c:formatCode>
                <c:ptCount val="12"/>
                <c:pt idx="0">
                  <c:v>1.2000000000000011E-2</c:v>
                </c:pt>
                <c:pt idx="1">
                  <c:v>1.2000000000000011E-2</c:v>
                </c:pt>
                <c:pt idx="2">
                  <c:v>1.2000000000000011E-2</c:v>
                </c:pt>
                <c:pt idx="3">
                  <c:v>1.2000000000000011E-2</c:v>
                </c:pt>
                <c:pt idx="4">
                  <c:v>1.2000000000000011E-2</c:v>
                </c:pt>
                <c:pt idx="5">
                  <c:v>1.2000000000000011E-2</c:v>
                </c:pt>
                <c:pt idx="6">
                  <c:v>1.2000000000000011E-2</c:v>
                </c:pt>
                <c:pt idx="7">
                  <c:v>1.2000000000000011E-2</c:v>
                </c:pt>
                <c:pt idx="8">
                  <c:v>1.2000000000000011E-2</c:v>
                </c:pt>
                <c:pt idx="9">
                  <c:v>1.2000000000000011E-2</c:v>
                </c:pt>
                <c:pt idx="10">
                  <c:v>1.2000000000000011E-2</c:v>
                </c:pt>
                <c:pt idx="11">
                  <c:v>1.2000000000000011E-2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07-4902-B5E6-1D503FCE5098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サマリ!$E$9:$E$20</c:f>
              <c:numCache>
                <c:formatCode>General</c:formatCode>
                <c:ptCount val="12"/>
                <c:pt idx="0">
                  <c:v>6.1999999999999833E-3</c:v>
                </c:pt>
                <c:pt idx="1">
                  <c:v>6.1999999999999833E-3</c:v>
                </c:pt>
                <c:pt idx="2">
                  <c:v>6.1999999999999833E-3</c:v>
                </c:pt>
                <c:pt idx="3">
                  <c:v>6.1999999999999833E-3</c:v>
                </c:pt>
                <c:pt idx="4">
                  <c:v>6.1999999999999833E-3</c:v>
                </c:pt>
                <c:pt idx="5">
                  <c:v>6.1999999999999833E-3</c:v>
                </c:pt>
                <c:pt idx="6">
                  <c:v>6.1999999999999833E-3</c:v>
                </c:pt>
                <c:pt idx="7">
                  <c:v>6.1999999999999833E-3</c:v>
                </c:pt>
                <c:pt idx="8">
                  <c:v>6.1999999999999833E-3</c:v>
                </c:pt>
                <c:pt idx="9">
                  <c:v>6.1999999999999833E-3</c:v>
                </c:pt>
                <c:pt idx="10">
                  <c:v>6.1999999999999833E-3</c:v>
                </c:pt>
                <c:pt idx="11">
                  <c:v>6.1999999999999833E-3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07-4902-B5E6-1D503FCE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4764400"/>
        <c:axId val="574766368"/>
      </c:barChart>
      <c:lineChart>
        <c:grouping val="standard"/>
        <c:varyColors val="0"/>
        <c:ser>
          <c:idx val="0"/>
          <c:order val="0"/>
          <c:val>
            <c:numRef>
              <c:f>サマリ!$B$9:$B$20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07-4902-B5E6-1D503FCE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764400"/>
        <c:axId val="574766368"/>
      </c:lineChart>
      <c:catAx>
        <c:axId val="574764400"/>
        <c:scaling>
          <c:orientation val="minMax"/>
        </c:scaling>
        <c:delete val="0"/>
        <c:axPos val="b"/>
        <c:majorTickMark val="out"/>
        <c:minorTickMark val="none"/>
        <c:tickLblPos val="nextTo"/>
        <c:crossAx val="574766368"/>
        <c:crosses val="autoZero"/>
        <c:auto val="1"/>
        <c:lblAlgn val="ctr"/>
        <c:lblOffset val="100"/>
        <c:noMultiLvlLbl val="0"/>
      </c:catAx>
      <c:valAx>
        <c:axId val="574766368"/>
        <c:scaling>
          <c:orientation val="minMax"/>
          <c:max val="0.67320000000000002"/>
          <c:min val="0.6468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47644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toku2 Extract2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サマリ!$I$9:$I$20</c:f>
              <c:numCache>
                <c:formatCode>General</c:formatCode>
                <c:ptCount val="12"/>
                <c:pt idx="0">
                  <c:v>6.3E-2</c:v>
                </c:pt>
                <c:pt idx="1">
                  <c:v>6.3E-2</c:v>
                </c:pt>
                <c:pt idx="2">
                  <c:v>6.3E-2</c:v>
                </c:pt>
                <c:pt idx="3">
                  <c:v>6.3E-2</c:v>
                </c:pt>
                <c:pt idx="4">
                  <c:v>6.3E-2</c:v>
                </c:pt>
                <c:pt idx="5">
                  <c:v>6.3E-2</c:v>
                </c:pt>
                <c:pt idx="6">
                  <c:v>6.3E-2</c:v>
                </c:pt>
                <c:pt idx="7">
                  <c:v>6.3E-2</c:v>
                </c:pt>
                <c:pt idx="8">
                  <c:v>6.3E-2</c:v>
                </c:pt>
                <c:pt idx="9">
                  <c:v>6.3E-2</c:v>
                </c:pt>
                <c:pt idx="10">
                  <c:v>6.3E-2</c:v>
                </c:pt>
                <c:pt idx="11">
                  <c:v>6.3E-2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8D-4B42-8C4E-A4C1E922D5FF}"/>
            </c:ext>
          </c:extLst>
        </c:ser>
        <c:ser>
          <c:idx val="2"/>
          <c:order val="2"/>
          <c:spPr>
            <a:solidFill>
              <a:srgbClr val="FF66FF">
                <a:alpha val="1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サマリ!$J$9:$J$20</c:f>
              <c:numCache>
                <c:formatCode>General</c:formatCode>
                <c:ptCount val="12"/>
                <c:pt idx="0">
                  <c:v>1.0199999999999931E-3</c:v>
                </c:pt>
                <c:pt idx="1">
                  <c:v>1.0199999999999931E-3</c:v>
                </c:pt>
                <c:pt idx="2">
                  <c:v>1.0199999999999931E-3</c:v>
                </c:pt>
                <c:pt idx="3">
                  <c:v>1.0199999999999931E-3</c:v>
                </c:pt>
                <c:pt idx="4">
                  <c:v>1.0199999999999931E-3</c:v>
                </c:pt>
                <c:pt idx="5">
                  <c:v>1.0199999999999931E-3</c:v>
                </c:pt>
                <c:pt idx="6">
                  <c:v>1.0199999999999931E-3</c:v>
                </c:pt>
                <c:pt idx="7">
                  <c:v>1.0199999999999931E-3</c:v>
                </c:pt>
                <c:pt idx="8">
                  <c:v>1.0199999999999931E-3</c:v>
                </c:pt>
                <c:pt idx="9">
                  <c:v>1.0199999999999931E-3</c:v>
                </c:pt>
                <c:pt idx="10">
                  <c:v>1.0199999999999931E-3</c:v>
                </c:pt>
                <c:pt idx="11">
                  <c:v>1.0199999999999931E-3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8D-4B42-8C4E-A4C1E922D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82896544"/>
        <c:axId val="482896216"/>
      </c:barChart>
      <c:lineChart>
        <c:grouping val="standard"/>
        <c:varyColors val="0"/>
        <c:ser>
          <c:idx val="0"/>
          <c:order val="0"/>
          <c:val>
            <c:numRef>
              <c:f>サマリ!$H$9:$H$20</c:f>
              <c:numCache>
                <c:formatCode>General</c:formatCode>
                <c:ptCount val="12"/>
                <c:pt idx="0">
                  <c:v>6.1600000000000002E-2</c:v>
                </c:pt>
                <c:pt idx="1">
                  <c:v>6.1800000000000001E-2</c:v>
                </c:pt>
                <c:pt idx="2">
                  <c:v>6.2E-2</c:v>
                </c:pt>
                <c:pt idx="3">
                  <c:v>6.2199999999999998E-2</c:v>
                </c:pt>
                <c:pt idx="4">
                  <c:v>6.2399999999999997E-2</c:v>
                </c:pt>
                <c:pt idx="5">
                  <c:v>6.2600000000000003E-2</c:v>
                </c:pt>
                <c:pt idx="6">
                  <c:v>6.2799999999999995E-2</c:v>
                </c:pt>
                <c:pt idx="7">
                  <c:v>6.3E-2</c:v>
                </c:pt>
                <c:pt idx="8">
                  <c:v>6.3200000000000006E-2</c:v>
                </c:pt>
                <c:pt idx="9">
                  <c:v>6.3399999999999998E-2</c:v>
                </c:pt>
                <c:pt idx="10">
                  <c:v>6.3600000000000004E-2</c:v>
                </c:pt>
                <c:pt idx="11">
                  <c:v>6.3799999999999996E-2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8D-4B42-8C4E-A4C1E922D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896544"/>
        <c:axId val="482896216"/>
      </c:lineChart>
      <c:catAx>
        <c:axId val="482896544"/>
        <c:scaling>
          <c:orientation val="minMax"/>
        </c:scaling>
        <c:delete val="0"/>
        <c:axPos val="b"/>
        <c:majorTickMark val="out"/>
        <c:minorTickMark val="none"/>
        <c:tickLblPos val="nextTo"/>
        <c:crossAx val="482896216"/>
        <c:crosses val="autoZero"/>
        <c:auto val="1"/>
        <c:lblAlgn val="ctr"/>
        <c:lblOffset val="100"/>
        <c:noMultiLvlLbl val="0"/>
      </c:catAx>
      <c:valAx>
        <c:axId val="482896216"/>
        <c:scaling>
          <c:orientation val="minMax"/>
          <c:max val="6.4019999999999994E-2"/>
          <c:min val="6.1380000000000004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28965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tokuA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66FF">
                <a:alpha val="1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サマリ!$O$9:$O$20</c:f>
              <c:numCache>
                <c:formatCode>General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AB-4B6C-BD01-66C573E860C6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サマリ!$P$9:$P$20</c:f>
              <c:numCache>
                <c:formatCode>General</c:formatCode>
                <c:ptCount val="12"/>
                <c:pt idx="0">
                  <c:v>0.94</c:v>
                </c:pt>
                <c:pt idx="1">
                  <c:v>0.94</c:v>
                </c:pt>
                <c:pt idx="2">
                  <c:v>0.94</c:v>
                </c:pt>
                <c:pt idx="3">
                  <c:v>0.94</c:v>
                </c:pt>
                <c:pt idx="4">
                  <c:v>0.94</c:v>
                </c:pt>
                <c:pt idx="5">
                  <c:v>0.94</c:v>
                </c:pt>
                <c:pt idx="6">
                  <c:v>0.94</c:v>
                </c:pt>
                <c:pt idx="7">
                  <c:v>0.94</c:v>
                </c:pt>
                <c:pt idx="8">
                  <c:v>0.94</c:v>
                </c:pt>
                <c:pt idx="9">
                  <c:v>0.94</c:v>
                </c:pt>
                <c:pt idx="10">
                  <c:v>0.94</c:v>
                </c:pt>
                <c:pt idx="11">
                  <c:v>0.94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AB-4B6C-BD01-66C573E86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7696960"/>
        <c:axId val="477687776"/>
      </c:barChart>
      <c:lineChart>
        <c:grouping val="standard"/>
        <c:varyColors val="0"/>
        <c:ser>
          <c:idx val="0"/>
          <c:order val="0"/>
          <c:val>
            <c:numRef>
              <c:f>サマリ!$N$9:$N$20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AB-4B6C-BD01-66C573E86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696960"/>
        <c:axId val="477687776"/>
      </c:lineChart>
      <c:catAx>
        <c:axId val="477696960"/>
        <c:scaling>
          <c:orientation val="minMax"/>
        </c:scaling>
        <c:delete val="0"/>
        <c:axPos val="b"/>
        <c:majorTickMark val="out"/>
        <c:minorTickMark val="none"/>
        <c:tickLblPos val="nextTo"/>
        <c:crossAx val="477687776"/>
        <c:crosses val="autoZero"/>
        <c:auto val="1"/>
        <c:lblAlgn val="ctr"/>
        <c:lblOffset val="100"/>
        <c:noMultiLvlLbl val="0"/>
      </c:catAx>
      <c:valAx>
        <c:axId val="477687776"/>
        <c:scaling>
          <c:orientation val="minMax"/>
          <c:max val="2.44"/>
          <c:min val="1.119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76969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Extract7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サマリ!$T$9:$T$20</c:f>
              <c:numCache>
                <c:formatCode>General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13-4176-A55C-0F17E8B8F8CF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サマリ!$U$9:$U$20</c:f>
              <c:numCache>
                <c:formatCode>General</c:formatCode>
                <c:ptCount val="12"/>
                <c:pt idx="0">
                  <c:v>2.41</c:v>
                </c:pt>
                <c:pt idx="1">
                  <c:v>2.41</c:v>
                </c:pt>
                <c:pt idx="2">
                  <c:v>2.41</c:v>
                </c:pt>
                <c:pt idx="3">
                  <c:v>2.41</c:v>
                </c:pt>
                <c:pt idx="4">
                  <c:v>2.41</c:v>
                </c:pt>
                <c:pt idx="5">
                  <c:v>2.41</c:v>
                </c:pt>
                <c:pt idx="6">
                  <c:v>2.41</c:v>
                </c:pt>
                <c:pt idx="7">
                  <c:v>2.41</c:v>
                </c:pt>
                <c:pt idx="8">
                  <c:v>2.41</c:v>
                </c:pt>
                <c:pt idx="9">
                  <c:v>2.41</c:v>
                </c:pt>
                <c:pt idx="10">
                  <c:v>2.41</c:v>
                </c:pt>
                <c:pt idx="11">
                  <c:v>2.41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13-4176-A55C-0F17E8B8F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107624"/>
        <c:axId val="479099752"/>
      </c:lineChart>
      <c:catAx>
        <c:axId val="479107624"/>
        <c:scaling>
          <c:orientation val="minMax"/>
        </c:scaling>
        <c:delete val="0"/>
        <c:axPos val="b"/>
        <c:majorTickMark val="out"/>
        <c:minorTickMark val="none"/>
        <c:tickLblPos val="nextTo"/>
        <c:crossAx val="479099752"/>
        <c:crosses val="autoZero"/>
        <c:auto val="1"/>
        <c:lblAlgn val="ctr"/>
        <c:lblOffset val="100"/>
        <c:noMultiLvlLbl val="0"/>
      </c:catAx>
      <c:valAx>
        <c:axId val="479099752"/>
        <c:scaling>
          <c:orientation val="minMax"/>
          <c:max val="2.5319999999999996"/>
          <c:min val="2.268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91076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サマリ!$Z$8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サマリ!$Y$9:$Y$20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サマリ!$Z$9:$Z$20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DA-422C-BA15-F50EF8A2E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80832"/>
        <c:axId val="472781160"/>
      </c:lineChart>
      <c:catAx>
        <c:axId val="472780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2781160"/>
        <c:crosses val="autoZero"/>
        <c:auto val="1"/>
        <c:lblAlgn val="ctr"/>
        <c:lblOffset val="100"/>
        <c:noMultiLvlLbl val="0"/>
      </c:catAx>
      <c:valAx>
        <c:axId val="472781160"/>
        <c:scaling>
          <c:logBase val="1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7808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Qs02 Extract2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</a:extLst>
          </c:spPr>
          <c:invertIfNegative val="0"/>
          <c:val>
            <c:numRef>
              <c:f>サマリ!$AG$9:$AG$20</c:f>
              <c:numCache>
                <c:formatCode>General</c:formatCode>
                <c:ptCount val="12"/>
                <c:pt idx="0">
                  <c:v>0.391666666666667</c:v>
                </c:pt>
                <c:pt idx="1">
                  <c:v>0.391666666666667</c:v>
                </c:pt>
                <c:pt idx="2">
                  <c:v>0.391666666666667</c:v>
                </c:pt>
                <c:pt idx="3">
                  <c:v>0.391666666666667</c:v>
                </c:pt>
                <c:pt idx="4">
                  <c:v>0.391666666666667</c:v>
                </c:pt>
                <c:pt idx="5">
                  <c:v>0.391666666666667</c:v>
                </c:pt>
                <c:pt idx="6">
                  <c:v>0.391666666666667</c:v>
                </c:pt>
                <c:pt idx="7">
                  <c:v>0.391666666666667</c:v>
                </c:pt>
                <c:pt idx="8">
                  <c:v>0.391666666666667</c:v>
                </c:pt>
                <c:pt idx="9">
                  <c:v>0.391666666666667</c:v>
                </c:pt>
                <c:pt idx="10">
                  <c:v>0.391666666666667</c:v>
                </c:pt>
                <c:pt idx="11">
                  <c:v>0.391666666666667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CB-4C09-A393-2D8E0F6C5D54}"/>
            </c:ext>
          </c:extLst>
        </c:ser>
        <c:ser>
          <c:idx val="2"/>
          <c:order val="2"/>
          <c:spPr>
            <a:solidFill>
              <a:srgbClr val="FF66FF">
                <a:alpha val="1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サマリ!$AH$9:$AH$20</c:f>
              <c:numCache>
                <c:formatCode>General</c:formatCode>
                <c:ptCount val="12"/>
                <c:pt idx="0">
                  <c:v>5.3333333333330235E-3</c:v>
                </c:pt>
                <c:pt idx="1">
                  <c:v>5.3333333333330235E-3</c:v>
                </c:pt>
                <c:pt idx="2">
                  <c:v>5.3333333333330235E-3</c:v>
                </c:pt>
                <c:pt idx="3">
                  <c:v>5.3333333333330235E-3</c:v>
                </c:pt>
                <c:pt idx="4">
                  <c:v>5.3333333333330235E-3</c:v>
                </c:pt>
                <c:pt idx="5">
                  <c:v>5.3333333333330235E-3</c:v>
                </c:pt>
                <c:pt idx="6">
                  <c:v>5.3333333333330235E-3</c:v>
                </c:pt>
                <c:pt idx="7">
                  <c:v>5.3333333333330235E-3</c:v>
                </c:pt>
                <c:pt idx="8">
                  <c:v>5.3333333333330235E-3</c:v>
                </c:pt>
                <c:pt idx="9">
                  <c:v>5.3333333333330235E-3</c:v>
                </c:pt>
                <c:pt idx="10">
                  <c:v>5.3333333333330235E-3</c:v>
                </c:pt>
                <c:pt idx="11">
                  <c:v>5.3333333333330235E-3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CB-4C09-A393-2D8E0F6C5D54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サマリ!$AI$9:$AI$20</c:f>
              <c:numCache>
                <c:formatCode>General</c:formatCode>
                <c:ptCount val="12"/>
                <c:pt idx="0">
                  <c:v>5.1333333333333231E-3</c:v>
                </c:pt>
                <c:pt idx="1">
                  <c:v>5.1333333333333231E-3</c:v>
                </c:pt>
                <c:pt idx="2">
                  <c:v>5.1333333333333231E-3</c:v>
                </c:pt>
                <c:pt idx="3">
                  <c:v>5.1333333333333231E-3</c:v>
                </c:pt>
                <c:pt idx="4">
                  <c:v>5.1333333333333231E-3</c:v>
                </c:pt>
                <c:pt idx="5">
                  <c:v>5.1333333333333231E-3</c:v>
                </c:pt>
                <c:pt idx="6">
                  <c:v>5.1333333333333231E-3</c:v>
                </c:pt>
                <c:pt idx="7">
                  <c:v>5.1333333333333231E-3</c:v>
                </c:pt>
                <c:pt idx="8">
                  <c:v>5.1333333333333231E-3</c:v>
                </c:pt>
                <c:pt idx="9">
                  <c:v>5.1333333333333231E-3</c:v>
                </c:pt>
                <c:pt idx="10">
                  <c:v>5.1333333333333231E-3</c:v>
                </c:pt>
                <c:pt idx="11">
                  <c:v>5.1333333333333231E-3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CB-4C09-A393-2D8E0F6C5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2770992"/>
        <c:axId val="472772304"/>
      </c:barChart>
      <c:lineChart>
        <c:grouping val="standard"/>
        <c:varyColors val="0"/>
        <c:ser>
          <c:idx val="0"/>
          <c:order val="0"/>
          <c:val>
            <c:numRef>
              <c:f>サマリ!$AF$9:$AF$20</c:f>
              <c:numCache>
                <c:formatCode>General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CB-4C09-A393-2D8E0F6C5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70992"/>
        <c:axId val="472772304"/>
      </c:lineChart>
      <c:catAx>
        <c:axId val="472770992"/>
        <c:scaling>
          <c:orientation val="minMax"/>
        </c:scaling>
        <c:delete val="0"/>
        <c:axPos val="b"/>
        <c:majorTickMark val="out"/>
        <c:minorTickMark val="none"/>
        <c:tickLblPos val="nextTo"/>
        <c:crossAx val="472772304"/>
        <c:crosses val="autoZero"/>
        <c:auto val="1"/>
        <c:lblAlgn val="ctr"/>
        <c:lblOffset val="100"/>
        <c:noMultiLvlLbl val="0"/>
      </c:catAx>
      <c:valAx>
        <c:axId val="472772304"/>
        <c:scaling>
          <c:orientation val="minMax"/>
          <c:max val="0.40213333333333334"/>
          <c:min val="0.38853333333333367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7709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FFF-BE7C-8266FBD5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8-40F9-A7AC-61E7BCDDA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7-41A5-9142-76446AFC1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0-4E86-B3DE-D8B183EFB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D0-4824-A110-6EEC99A143FC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D0-4824-A110-6EEC99A143FC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D0-4824-A110-6EEC99A143FC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D0-4824-A110-6EEC99A143FC}"/>
            </c:ext>
          </c:extLst>
        </c:ser>
        <c:ser>
          <c:idx val="4"/>
          <c:order val="4"/>
          <c:tx>
            <c:strRef>
              <c:f>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AD0-4824-A110-6EEC99A143FC}"/>
            </c:ext>
          </c:extLst>
        </c:ser>
        <c:ser>
          <c:idx val="5"/>
          <c:order val="5"/>
          <c:tx>
            <c:strRef>
              <c:f>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AD0-4824-A110-6EEC99A143FC}"/>
            </c:ext>
          </c:extLst>
        </c:ser>
        <c:ser>
          <c:idx val="6"/>
          <c:order val="6"/>
          <c:tx>
            <c:strRef>
              <c:f>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AD0-4824-A110-6EEC99A143FC}"/>
            </c:ext>
          </c:extLst>
        </c:ser>
        <c:ser>
          <c:idx val="7"/>
          <c:order val="7"/>
          <c:tx>
            <c:strRef>
              <c:f>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AD0-4824-A110-6EEC99A143FC}"/>
            </c:ext>
          </c:extLst>
        </c:ser>
        <c:ser>
          <c:idx val="8"/>
          <c:order val="8"/>
          <c:tx>
            <c:strRef>
              <c:f>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AD0-4824-A110-6EEC99A14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157000"/>
        <c:axId val="471156672"/>
      </c:scatterChart>
      <c:valAx>
        <c:axId val="471157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1156672"/>
        <c:crosses val="autoZero"/>
        <c:crossBetween val="midCat"/>
      </c:valAx>
      <c:valAx>
        <c:axId val="471156672"/>
        <c:scaling>
          <c:logBase val="1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11570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:01_TGon_Extract4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散布図!$B$14</c:f>
              <c:strCache>
                <c:ptCount val="1"/>
                <c:pt idx="0">
                  <c:v>CWL1_dose =1.10E+12,OFD_dose =3.11E+11,</c:v>
                </c:pt>
              </c:strCache>
            </c:strRef>
          </c:tx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CB-4248-B2A0-449EEC9A46E9}"/>
            </c:ext>
          </c:extLst>
        </c:ser>
        <c:ser>
          <c:idx val="1"/>
          <c:order val="1"/>
          <c:tx>
            <c:strRef>
              <c:f>散布図!$C$14</c:f>
              <c:strCache>
                <c:ptCount val="1"/>
                <c:pt idx="0">
                  <c:v>CWL1_dose =1.20E+12,OFD_dose =3.11E+11,</c:v>
                </c:pt>
              </c:strCache>
            </c:strRef>
          </c:tx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CB-4248-B2A0-449EEC9A46E9}"/>
            </c:ext>
          </c:extLst>
        </c:ser>
        <c:ser>
          <c:idx val="2"/>
          <c:order val="2"/>
          <c:tx>
            <c:strRef>
              <c:f>散布図!$D$14</c:f>
              <c:strCache>
                <c:ptCount val="1"/>
                <c:pt idx="0">
                  <c:v>CWL1_dose =1.30E+12,OFD_dose =3.11E+11,</c:v>
                </c:pt>
              </c:strCache>
            </c:strRef>
          </c:tx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CB-4248-B2A0-449EEC9A46E9}"/>
            </c:ext>
          </c:extLst>
        </c:ser>
        <c:ser>
          <c:idx val="3"/>
          <c:order val="3"/>
          <c:tx>
            <c:strRef>
              <c:f>散布図!$E$14</c:f>
              <c:strCache>
                <c:ptCount val="1"/>
                <c:pt idx="0">
                  <c:v>CWL1_dose =1.10E+12,OFD_dose =3.30E+11,</c:v>
                </c:pt>
              </c:strCache>
            </c:strRef>
          </c:tx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散布図!$E$15:$E$17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CB-4248-B2A0-449EEC9A46E9}"/>
            </c:ext>
          </c:extLst>
        </c:ser>
        <c:ser>
          <c:idx val="4"/>
          <c:order val="4"/>
          <c:tx>
            <c:strRef>
              <c:f>散布図!$F$14</c:f>
              <c:strCache>
                <c:ptCount val="1"/>
                <c:pt idx="0">
                  <c:v>CWL1_dose =1.20E+12,OFD_dose =3.30E+11,</c:v>
                </c:pt>
              </c:strCache>
            </c:strRef>
          </c:tx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散布図!$F$15:$F$17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CB-4248-B2A0-449EEC9A46E9}"/>
            </c:ext>
          </c:extLst>
        </c:ser>
        <c:ser>
          <c:idx val="5"/>
          <c:order val="5"/>
          <c:tx>
            <c:strRef>
              <c:f>散布図!$G$14</c:f>
              <c:strCache>
                <c:ptCount val="1"/>
                <c:pt idx="0">
                  <c:v>CWL1_dose =1.30E+12,OFD_dose =3.30E+11,</c:v>
                </c:pt>
              </c:strCache>
            </c:strRef>
          </c:tx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散布図!$G$15:$G$17</c:f>
              <c:numCache>
                <c:formatCode>General</c:formatCode>
                <c:ptCount val="3"/>
                <c:pt idx="0">
                  <c:v>1.63</c:v>
                </c:pt>
                <c:pt idx="1">
                  <c:v>1.53</c:v>
                </c:pt>
                <c:pt idx="2">
                  <c:v>1.43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CB-4248-B2A0-449EEC9A46E9}"/>
            </c:ext>
          </c:extLst>
        </c:ser>
        <c:ser>
          <c:idx val="6"/>
          <c:order val="6"/>
          <c:tx>
            <c:strRef>
              <c:f>散布図!$H$14</c:f>
              <c:strCache>
                <c:ptCount val="1"/>
                <c:pt idx="0">
                  <c:v>CWL1_dose =1.10E+12,OFD_dose =3.60E+11,</c:v>
                </c:pt>
              </c:strCache>
            </c:strRef>
          </c:tx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散布図!$H$15:$H$17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CB-4248-B2A0-449EEC9A46E9}"/>
            </c:ext>
          </c:extLst>
        </c:ser>
        <c:ser>
          <c:idx val="7"/>
          <c:order val="7"/>
          <c:tx>
            <c:strRef>
              <c:f>散布図!$I$14</c:f>
              <c:strCache>
                <c:ptCount val="1"/>
                <c:pt idx="0">
                  <c:v>CWL1_dose =1.20E+12,OFD_dose =3.60E+11,</c:v>
                </c:pt>
              </c:strCache>
            </c:strRef>
          </c:tx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散布図!$I$15:$I$17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6CB-4248-B2A0-449EEC9A46E9}"/>
            </c:ext>
          </c:extLst>
        </c:ser>
        <c:ser>
          <c:idx val="8"/>
          <c:order val="8"/>
          <c:tx>
            <c:strRef>
              <c:f>散布図!$J$14</c:f>
              <c:strCache>
                <c:ptCount val="1"/>
                <c:pt idx="0">
                  <c:v>CWL1_dose =1.30E+12,OFD_dose =3.60E+11,</c:v>
                </c:pt>
              </c:strCache>
            </c:strRef>
          </c:tx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散布図!$J$15:$J$17</c:f>
              <c:numCache>
                <c:formatCode>General</c:formatCode>
                <c:ptCount val="3"/>
                <c:pt idx="0">
                  <c:v>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6CB-4248-B2A0-449EEC9A4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157000"/>
        <c:axId val="471160936"/>
      </c:scatterChart>
      <c:valAx>
        <c:axId val="471157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1160936"/>
        <c:crosses val="autoZero"/>
        <c:crossBetween val="midCat"/>
      </c:valAx>
      <c:valAx>
        <c:axId val="471160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11570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:01_TGoff_Extract7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散布図!$B$22</c:f>
              <c:strCache>
                <c:ptCount val="1"/>
                <c:pt idx="0">
                  <c:v>CWL1_dose =1.10E+12,OFD_dose =3.11E+11,</c:v>
                </c:pt>
              </c:strCache>
            </c:strRef>
          </c:tx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42-4D38-9B35-A9828A7586A0}"/>
            </c:ext>
          </c:extLst>
        </c:ser>
        <c:ser>
          <c:idx val="1"/>
          <c:order val="1"/>
          <c:tx>
            <c:strRef>
              <c:f>散布図!$C$22</c:f>
              <c:strCache>
                <c:ptCount val="1"/>
                <c:pt idx="0">
                  <c:v>CWL1_dose =1.20E+12,OFD_dose =3.11E+11,</c:v>
                </c:pt>
              </c:strCache>
            </c:strRef>
          </c:tx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42-4D38-9B35-A9828A7586A0}"/>
            </c:ext>
          </c:extLst>
        </c:ser>
        <c:ser>
          <c:idx val="2"/>
          <c:order val="2"/>
          <c:tx>
            <c:strRef>
              <c:f>散布図!$D$22</c:f>
              <c:strCache>
                <c:ptCount val="1"/>
                <c:pt idx="0">
                  <c:v>CWL1_dose =1.30E+12,OFD_dose =3.11E+11,</c:v>
                </c:pt>
              </c:strCache>
            </c:strRef>
          </c:tx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42-4D38-9B35-A9828A7586A0}"/>
            </c:ext>
          </c:extLst>
        </c:ser>
        <c:ser>
          <c:idx val="3"/>
          <c:order val="3"/>
          <c:tx>
            <c:strRef>
              <c:f>散布図!$E$22</c:f>
              <c:strCache>
                <c:ptCount val="1"/>
                <c:pt idx="0">
                  <c:v>CWL1_dose =1.10E+12,OFD_dose =3.30E+11,</c:v>
                </c:pt>
              </c:strCache>
            </c:strRef>
          </c:tx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散布図!$E$23:$E$25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42-4D38-9B35-A9828A7586A0}"/>
            </c:ext>
          </c:extLst>
        </c:ser>
        <c:ser>
          <c:idx val="4"/>
          <c:order val="4"/>
          <c:tx>
            <c:strRef>
              <c:f>散布図!$F$22</c:f>
              <c:strCache>
                <c:ptCount val="1"/>
                <c:pt idx="0">
                  <c:v>CWL1_dose =1.20E+12,OFD_dose =3.30E+11,</c:v>
                </c:pt>
              </c:strCache>
            </c:strRef>
          </c:tx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散布図!$F$23:$F$25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42-4D38-9B35-A9828A7586A0}"/>
            </c:ext>
          </c:extLst>
        </c:ser>
        <c:ser>
          <c:idx val="5"/>
          <c:order val="5"/>
          <c:tx>
            <c:strRef>
              <c:f>散布図!$G$22</c:f>
              <c:strCache>
                <c:ptCount val="1"/>
                <c:pt idx="0">
                  <c:v>CWL1_dose =1.30E+12,OFD_dose =3.30E+11,</c:v>
                </c:pt>
              </c:strCache>
            </c:strRef>
          </c:tx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散布図!$G$23:$G$25</c:f>
              <c:numCache>
                <c:formatCode>General</c:formatCode>
                <c:ptCount val="3"/>
                <c:pt idx="0">
                  <c:v>2.4300000000000002</c:v>
                </c:pt>
                <c:pt idx="1">
                  <c:v>2.4500000000000002</c:v>
                </c:pt>
                <c:pt idx="2">
                  <c:v>2.4700000000000002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42-4D38-9B35-A9828A7586A0}"/>
            </c:ext>
          </c:extLst>
        </c:ser>
        <c:ser>
          <c:idx val="6"/>
          <c:order val="6"/>
          <c:tx>
            <c:strRef>
              <c:f>散布図!$H$22</c:f>
              <c:strCache>
                <c:ptCount val="1"/>
                <c:pt idx="0">
                  <c:v>CWL1_dose =1.10E+12,OFD_dose =3.60E+11,</c:v>
                </c:pt>
              </c:strCache>
            </c:strRef>
          </c:tx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散布図!$H$23:$H$25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F42-4D38-9B35-A9828A7586A0}"/>
            </c:ext>
          </c:extLst>
        </c:ser>
        <c:ser>
          <c:idx val="7"/>
          <c:order val="7"/>
          <c:tx>
            <c:strRef>
              <c:f>散布図!$I$22</c:f>
              <c:strCache>
                <c:ptCount val="1"/>
                <c:pt idx="0">
                  <c:v>CWL1_dose =1.20E+12,OFD_dose =3.60E+11,</c:v>
                </c:pt>
              </c:strCache>
            </c:strRef>
          </c:tx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散布図!$I$23:$I$25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F42-4D38-9B35-A9828A7586A0}"/>
            </c:ext>
          </c:extLst>
        </c:ser>
        <c:ser>
          <c:idx val="8"/>
          <c:order val="8"/>
          <c:tx>
            <c:strRef>
              <c:f>散布図!$J$22</c:f>
              <c:strCache>
                <c:ptCount val="1"/>
                <c:pt idx="0">
                  <c:v>CWL1_dose =1.30E+12,OFD_dose =3.60E+11,</c:v>
                </c:pt>
              </c:strCache>
            </c:strRef>
          </c:tx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散布図!$J$23:$J$25</c:f>
              <c:numCache>
                <c:formatCode>General</c:formatCode>
                <c:ptCount val="3"/>
                <c:pt idx="0">
                  <c:v>2.4900000000000002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F42-4D38-9B35-A9828A758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167168"/>
        <c:axId val="471145192"/>
      </c:scatterChart>
      <c:valAx>
        <c:axId val="47116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1145192"/>
        <c:crosses val="autoZero"/>
        <c:crossBetween val="midCat"/>
      </c:valAx>
      <c:valAx>
        <c:axId val="471145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116716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:03_Qs_Extract2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散布図!$B$30</c:f>
              <c:strCache>
                <c:ptCount val="1"/>
                <c:pt idx="0">
                  <c:v>CWL1_dose =1.10E+12,OFD_dose =3.11E+11,</c:v>
                </c:pt>
              </c:strCache>
            </c:strRef>
          </c:tx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A4-4920-A374-36FE24E459AF}"/>
            </c:ext>
          </c:extLst>
        </c:ser>
        <c:ser>
          <c:idx val="1"/>
          <c:order val="1"/>
          <c:tx>
            <c:strRef>
              <c:f>散布図!$C$30</c:f>
              <c:strCache>
                <c:ptCount val="1"/>
                <c:pt idx="0">
                  <c:v>CWL1_dose =1.20E+12,OFD_dose =3.11E+11,</c:v>
                </c:pt>
              </c:strCache>
            </c:strRef>
          </c:tx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A4-4920-A374-36FE24E459AF}"/>
            </c:ext>
          </c:extLst>
        </c:ser>
        <c:ser>
          <c:idx val="2"/>
          <c:order val="2"/>
          <c:tx>
            <c:strRef>
              <c:f>散布図!$D$30</c:f>
              <c:strCache>
                <c:ptCount val="1"/>
                <c:pt idx="0">
                  <c:v>CWL1_dose =1.30E+12,OFD_dose =3.11E+11,</c:v>
                </c:pt>
              </c:strCache>
            </c:strRef>
          </c:tx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A4-4920-A374-36FE24E459AF}"/>
            </c:ext>
          </c:extLst>
        </c:ser>
        <c:ser>
          <c:idx val="3"/>
          <c:order val="3"/>
          <c:tx>
            <c:strRef>
              <c:f>散布図!$E$30</c:f>
              <c:strCache>
                <c:ptCount val="1"/>
                <c:pt idx="0">
                  <c:v>CWL1_dose =1.10E+12,OFD_dose =3.30E+11,</c:v>
                </c:pt>
              </c:strCache>
            </c:strRef>
          </c:tx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散布図!$E$31:$E$33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A4-4920-A374-36FE24E459AF}"/>
            </c:ext>
          </c:extLst>
        </c:ser>
        <c:ser>
          <c:idx val="4"/>
          <c:order val="4"/>
          <c:tx>
            <c:strRef>
              <c:f>散布図!$F$30</c:f>
              <c:strCache>
                <c:ptCount val="1"/>
                <c:pt idx="0">
                  <c:v>CWL1_dose =1.20E+12,OFD_dose =3.30E+11,</c:v>
                </c:pt>
              </c:strCache>
            </c:strRef>
          </c:tx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散布図!$F$31:$F$33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A4-4920-A374-36FE24E459AF}"/>
            </c:ext>
          </c:extLst>
        </c:ser>
        <c:ser>
          <c:idx val="5"/>
          <c:order val="5"/>
          <c:tx>
            <c:strRef>
              <c:f>散布図!$G$30</c:f>
              <c:strCache>
                <c:ptCount val="1"/>
                <c:pt idx="0">
                  <c:v>CWL1_dose =1.30E+12,OFD_dose =3.30E+11,</c:v>
                </c:pt>
              </c:strCache>
            </c:strRef>
          </c:tx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散布図!$G$31:$G$33</c:f>
              <c:numCache>
                <c:formatCode>General</c:formatCode>
                <c:ptCount val="3"/>
                <c:pt idx="0">
                  <c:v>0.393666666666667</c:v>
                </c:pt>
                <c:pt idx="1">
                  <c:v>0.392666666666667</c:v>
                </c:pt>
                <c:pt idx="2">
                  <c:v>0.391666666666667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7A4-4920-A374-36FE24E459AF}"/>
            </c:ext>
          </c:extLst>
        </c:ser>
        <c:ser>
          <c:idx val="6"/>
          <c:order val="6"/>
          <c:tx>
            <c:strRef>
              <c:f>散布図!$H$30</c:f>
              <c:strCache>
                <c:ptCount val="1"/>
                <c:pt idx="0">
                  <c:v>CWL1_dose =1.10E+12,OFD_dose =3.60E+11,</c:v>
                </c:pt>
              </c:strCache>
            </c:strRef>
          </c:tx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散布図!$H$31:$H$33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7A4-4920-A374-36FE24E459AF}"/>
            </c:ext>
          </c:extLst>
        </c:ser>
        <c:ser>
          <c:idx val="7"/>
          <c:order val="7"/>
          <c:tx>
            <c:strRef>
              <c:f>散布図!$I$30</c:f>
              <c:strCache>
                <c:ptCount val="1"/>
                <c:pt idx="0">
                  <c:v>CWL1_dose =1.20E+12,OFD_dose =3.60E+11,</c:v>
                </c:pt>
              </c:strCache>
            </c:strRef>
          </c:tx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散布図!$I$31:$I$33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A4-4920-A374-36FE24E459AF}"/>
            </c:ext>
          </c:extLst>
        </c:ser>
        <c:ser>
          <c:idx val="8"/>
          <c:order val="8"/>
          <c:tx>
            <c:strRef>
              <c:f>散布図!$J$30</c:f>
              <c:strCache>
                <c:ptCount val="1"/>
                <c:pt idx="0">
                  <c:v>CWL1_dose =1.30E+12,OFD_dose =3.60E+11,</c:v>
                </c:pt>
              </c:strCache>
            </c:strRef>
          </c:tx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散布図!$J$31:$J$33</c:f>
              <c:numCache>
                <c:formatCode>General</c:formatCode>
                <c:ptCount val="3"/>
                <c:pt idx="0">
                  <c:v>0.390666666666667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7A4-4920-A374-36FE24E45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135680"/>
        <c:axId val="471136664"/>
      </c:scatterChart>
      <c:valAx>
        <c:axId val="471135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1136664"/>
        <c:crosses val="autoZero"/>
        <c:crossBetween val="midCat"/>
      </c:valAx>
      <c:valAx>
        <c:axId val="471136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11356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テスト</a:t>
            </a:r>
            <a:b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</a:b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53473096"/>
        <c:axId val="553473752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73096"/>
        <c:axId val="553473752"/>
      </c:lineChart>
      <c:catAx>
        <c:axId val="553473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752"/>
        <c:crosses val="autoZero"/>
        <c:auto val="1"/>
        <c:lblAlgn val="ctr"/>
        <c:lblOffset val="100"/>
        <c:noMultiLvlLbl val="0"/>
      </c:catAx>
      <c:valAx>
        <c:axId val="553473752"/>
        <c:scaling>
          <c:orientation val="minMax"/>
          <c:max val="0.67500000000000004"/>
          <c:min val="0.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layout>
        <c:manualLayout>
          <c:xMode val="edge"/>
          <c:yMode val="edge"/>
          <c:x val="0.17335729077594556"/>
          <c:y val="2.629107981220657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8"/>
          <c:order val="0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B5-41AC-816C-C2A2773BBB3C}"/>
            </c:ext>
          </c:extLst>
        </c:ser>
        <c:ser>
          <c:idx val="19"/>
          <c:order val="1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B5-41AC-816C-C2A2773BBB3C}"/>
            </c:ext>
          </c:extLst>
        </c:ser>
        <c:ser>
          <c:idx val="20"/>
          <c:order val="2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B5-41AC-816C-C2A2773BBB3C}"/>
            </c:ext>
          </c:extLst>
        </c:ser>
        <c:ser>
          <c:idx val="21"/>
          <c:order val="3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B5-41AC-816C-C2A2773BBB3C}"/>
            </c:ext>
          </c:extLst>
        </c:ser>
        <c:ser>
          <c:idx val="22"/>
          <c:order val="4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B5-41AC-816C-C2A2773BBB3C}"/>
            </c:ext>
          </c:extLst>
        </c:ser>
        <c:ser>
          <c:idx val="23"/>
          <c:order val="5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CB5-41AC-816C-C2A2773BBB3C}"/>
            </c:ext>
          </c:extLst>
        </c:ser>
        <c:ser>
          <c:idx val="24"/>
          <c:order val="6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CB5-41AC-816C-C2A2773BBB3C}"/>
            </c:ext>
          </c:extLst>
        </c:ser>
        <c:ser>
          <c:idx val="25"/>
          <c:order val="7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CB5-41AC-816C-C2A2773BBB3C}"/>
            </c:ext>
          </c:extLst>
        </c:ser>
        <c:ser>
          <c:idx val="26"/>
          <c:order val="8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CB5-41AC-816C-C2A2773BBB3C}"/>
            </c:ext>
          </c:extLst>
        </c:ser>
        <c:ser>
          <c:idx val="27"/>
          <c:order val="9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CB5-41AC-816C-C2A2773BBB3C}"/>
            </c:ext>
          </c:extLst>
        </c:ser>
        <c:ser>
          <c:idx val="28"/>
          <c:order val="10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CB5-41AC-816C-C2A2773BBB3C}"/>
            </c:ext>
          </c:extLst>
        </c:ser>
        <c:ser>
          <c:idx val="29"/>
          <c:order val="11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CB5-41AC-816C-C2A2773BBB3C}"/>
            </c:ext>
          </c:extLst>
        </c:ser>
        <c:ser>
          <c:idx val="30"/>
          <c:order val="12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CB5-41AC-816C-C2A2773BBB3C}"/>
            </c:ext>
          </c:extLst>
        </c:ser>
        <c:ser>
          <c:idx val="31"/>
          <c:order val="13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CB5-41AC-816C-C2A2773BBB3C}"/>
            </c:ext>
          </c:extLst>
        </c:ser>
        <c:ser>
          <c:idx val="32"/>
          <c:order val="14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CB5-41AC-816C-C2A2773BBB3C}"/>
            </c:ext>
          </c:extLst>
        </c:ser>
        <c:ser>
          <c:idx val="33"/>
          <c:order val="15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CB5-41AC-816C-C2A2773BBB3C}"/>
            </c:ext>
          </c:extLst>
        </c:ser>
        <c:ser>
          <c:idx val="34"/>
          <c:order val="16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CB5-41AC-816C-C2A2773BBB3C}"/>
            </c:ext>
          </c:extLst>
        </c:ser>
        <c:ser>
          <c:idx val="35"/>
          <c:order val="17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CB5-41AC-816C-C2A2773BBB3C}"/>
            </c:ext>
          </c:extLst>
        </c:ser>
        <c:ser>
          <c:idx val="9"/>
          <c:order val="18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CB5-41AC-816C-C2A2773BBB3C}"/>
            </c:ext>
          </c:extLst>
        </c:ser>
        <c:ser>
          <c:idx val="10"/>
          <c:order val="19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CB5-41AC-816C-C2A2773BBB3C}"/>
            </c:ext>
          </c:extLst>
        </c:ser>
        <c:ser>
          <c:idx val="11"/>
          <c:order val="20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CB5-41AC-816C-C2A2773BBB3C}"/>
            </c:ext>
          </c:extLst>
        </c:ser>
        <c:ser>
          <c:idx val="12"/>
          <c:order val="21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CB5-41AC-816C-C2A2773BBB3C}"/>
            </c:ext>
          </c:extLst>
        </c:ser>
        <c:ser>
          <c:idx val="13"/>
          <c:order val="22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7CB5-41AC-816C-C2A2773BBB3C}"/>
            </c:ext>
          </c:extLst>
        </c:ser>
        <c:ser>
          <c:idx val="14"/>
          <c:order val="23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CB5-41AC-816C-C2A2773BBB3C}"/>
            </c:ext>
          </c:extLst>
        </c:ser>
        <c:ser>
          <c:idx val="15"/>
          <c:order val="24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7CB5-41AC-816C-C2A2773BBB3C}"/>
            </c:ext>
          </c:extLst>
        </c:ser>
        <c:ser>
          <c:idx val="16"/>
          <c:order val="25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7CB5-41AC-816C-C2A2773BBB3C}"/>
            </c:ext>
          </c:extLst>
        </c:ser>
        <c:ser>
          <c:idx val="17"/>
          <c:order val="26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7CB5-41AC-816C-C2A2773BBB3C}"/>
            </c:ext>
          </c:extLst>
        </c:ser>
        <c:ser>
          <c:idx val="0"/>
          <c:order val="27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CB5-41AC-816C-C2A2773BBB3C}"/>
            </c:ext>
          </c:extLst>
        </c:ser>
        <c:ser>
          <c:idx val="1"/>
          <c:order val="28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7CB5-41AC-816C-C2A2773BBB3C}"/>
            </c:ext>
          </c:extLst>
        </c:ser>
        <c:ser>
          <c:idx val="2"/>
          <c:order val="29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7CB5-41AC-816C-C2A2773BBB3C}"/>
            </c:ext>
          </c:extLst>
        </c:ser>
        <c:ser>
          <c:idx val="3"/>
          <c:order val="30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7CB5-41AC-816C-C2A2773BBB3C}"/>
            </c:ext>
          </c:extLst>
        </c:ser>
        <c:ser>
          <c:idx val="4"/>
          <c:order val="31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7CB5-41AC-816C-C2A2773BBB3C}"/>
            </c:ext>
          </c:extLst>
        </c:ser>
        <c:ser>
          <c:idx val="5"/>
          <c:order val="32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7CB5-41AC-816C-C2A2773BBB3C}"/>
            </c:ext>
          </c:extLst>
        </c:ser>
        <c:ser>
          <c:idx val="6"/>
          <c:order val="33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7CB5-41AC-816C-C2A2773BBB3C}"/>
            </c:ext>
          </c:extLst>
        </c:ser>
        <c:ser>
          <c:idx val="7"/>
          <c:order val="34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7CB5-41AC-816C-C2A2773BBB3C}"/>
            </c:ext>
          </c:extLst>
        </c:ser>
        <c:ser>
          <c:idx val="8"/>
          <c:order val="35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7CB5-41AC-816C-C2A2773BB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:01_TGon_Extract4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例_グラフ背景塗りつぶし_散布図!$B$21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例_グラフ背景塗りつぶし_散布図!$B$22:$B$24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CD-4E7B-BCA4-CACFBFB4EBC0}"/>
            </c:ext>
          </c:extLst>
        </c:ser>
        <c:ser>
          <c:idx val="1"/>
          <c:order val="1"/>
          <c:tx>
            <c:strRef>
              <c:f>例_グラフ背景塗りつぶし_散布図!$C$21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例_グラフ背景塗りつぶし_散布図!$C$22:$C$24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CD-4E7B-BCA4-CACFBFB4EBC0}"/>
            </c:ext>
          </c:extLst>
        </c:ser>
        <c:ser>
          <c:idx val="2"/>
          <c:order val="2"/>
          <c:tx>
            <c:strRef>
              <c:f>例_グラフ背景塗りつぶし_散布図!$D$21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例_グラフ背景塗りつぶし_散布図!$D$22:$D$24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CD-4E7B-BCA4-CACFBFB4EBC0}"/>
            </c:ext>
          </c:extLst>
        </c:ser>
        <c:ser>
          <c:idx val="3"/>
          <c:order val="3"/>
          <c:tx>
            <c:strRef>
              <c:f>例_グラフ背景塗りつぶし_散布図!$E$21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例_グラフ背景塗りつぶし_散布図!$E$22:$E$24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CD-4E7B-BCA4-CACFBFB4EBC0}"/>
            </c:ext>
          </c:extLst>
        </c:ser>
        <c:ser>
          <c:idx val="4"/>
          <c:order val="4"/>
          <c:tx>
            <c:strRef>
              <c:f>例_グラフ背景塗りつぶし_散布図!$F$21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例_グラフ背景塗りつぶし_散布図!$F$22:$F$24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CD-4E7B-BCA4-CACFBFB4EBC0}"/>
            </c:ext>
          </c:extLst>
        </c:ser>
        <c:ser>
          <c:idx val="5"/>
          <c:order val="5"/>
          <c:tx>
            <c:strRef>
              <c:f>例_グラフ背景塗りつぶし_散布図!$G$21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例_グラフ背景塗りつぶし_散布図!$G$22:$G$24</c:f>
              <c:numCache>
                <c:formatCode>General</c:formatCode>
                <c:ptCount val="3"/>
                <c:pt idx="0">
                  <c:v>1.63</c:v>
                </c:pt>
                <c:pt idx="1">
                  <c:v>1.53</c:v>
                </c:pt>
                <c:pt idx="2">
                  <c:v>1.43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CD-4E7B-BCA4-CACFBFB4EBC0}"/>
            </c:ext>
          </c:extLst>
        </c:ser>
        <c:ser>
          <c:idx val="6"/>
          <c:order val="6"/>
          <c:tx>
            <c:strRef>
              <c:f>例_グラフ背景塗りつぶし_散布図!$H$21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例_グラフ背景塗りつぶし_散布図!$H$22:$H$24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CD-4E7B-BCA4-CACFBFB4EBC0}"/>
            </c:ext>
          </c:extLst>
        </c:ser>
        <c:ser>
          <c:idx val="7"/>
          <c:order val="7"/>
          <c:tx>
            <c:strRef>
              <c:f>例_グラフ背景塗りつぶし_散布図!$I$21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例_グラフ背景塗りつぶし_散布図!$I$22:$I$24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ECD-4E7B-BCA4-CACFBFB4EBC0}"/>
            </c:ext>
          </c:extLst>
        </c:ser>
        <c:ser>
          <c:idx val="8"/>
          <c:order val="8"/>
          <c:tx>
            <c:strRef>
              <c:f>例_グラフ背景塗りつぶし_散布図!$J$21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例_グラフ背景塗りつぶし_散布図!$J$22:$J$24</c:f>
              <c:numCache>
                <c:formatCode>General</c:formatCode>
                <c:ptCount val="3"/>
                <c:pt idx="0">
                  <c:v>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ECD-4E7B-BCA4-CACFBFB4E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:01_TGoff_Extract7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例_グラフ背景塗りつぶし_散布図!$B$29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例_グラフ背景塗りつぶし_散布図!$B$30:$B$32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8A-4826-BD39-556CED339C78}"/>
            </c:ext>
          </c:extLst>
        </c:ser>
        <c:ser>
          <c:idx val="1"/>
          <c:order val="1"/>
          <c:tx>
            <c:strRef>
              <c:f>例_グラフ背景塗りつぶし_散布図!$C$29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例_グラフ背景塗りつぶし_散布図!$C$30:$C$32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8A-4826-BD39-556CED339C78}"/>
            </c:ext>
          </c:extLst>
        </c:ser>
        <c:ser>
          <c:idx val="2"/>
          <c:order val="2"/>
          <c:tx>
            <c:strRef>
              <c:f>例_グラフ背景塗りつぶし_散布図!$D$29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例_グラフ背景塗りつぶし_散布図!$D$30:$D$32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8A-4826-BD39-556CED339C78}"/>
            </c:ext>
          </c:extLst>
        </c:ser>
        <c:ser>
          <c:idx val="3"/>
          <c:order val="3"/>
          <c:tx>
            <c:strRef>
              <c:f>例_グラフ背景塗りつぶし_散布図!$E$29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例_グラフ背景塗りつぶし_散布図!$E$30:$E$32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8A-4826-BD39-556CED339C78}"/>
            </c:ext>
          </c:extLst>
        </c:ser>
        <c:ser>
          <c:idx val="4"/>
          <c:order val="4"/>
          <c:tx>
            <c:strRef>
              <c:f>例_グラフ背景塗りつぶし_散布図!$F$29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例_グラフ背景塗りつぶし_散布図!$F$30:$F$32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28A-4826-BD39-556CED339C78}"/>
            </c:ext>
          </c:extLst>
        </c:ser>
        <c:ser>
          <c:idx val="5"/>
          <c:order val="5"/>
          <c:tx>
            <c:strRef>
              <c:f>例_グラフ背景塗りつぶし_散布図!$G$29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例_グラフ背景塗りつぶし_散布図!$G$30:$G$32</c:f>
              <c:numCache>
                <c:formatCode>General</c:formatCode>
                <c:ptCount val="3"/>
                <c:pt idx="0">
                  <c:v>2.4300000000000002</c:v>
                </c:pt>
                <c:pt idx="1">
                  <c:v>2.4500000000000002</c:v>
                </c:pt>
                <c:pt idx="2">
                  <c:v>2.4700000000000002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8A-4826-BD39-556CED339C78}"/>
            </c:ext>
          </c:extLst>
        </c:ser>
        <c:ser>
          <c:idx val="6"/>
          <c:order val="6"/>
          <c:tx>
            <c:strRef>
              <c:f>例_グラフ背景塗りつぶし_散布図!$H$29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例_グラフ背景塗りつぶし_散布図!$H$30:$H$32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28A-4826-BD39-556CED339C78}"/>
            </c:ext>
          </c:extLst>
        </c:ser>
        <c:ser>
          <c:idx val="7"/>
          <c:order val="7"/>
          <c:tx>
            <c:strRef>
              <c:f>例_グラフ背景塗りつぶし_散布図!$I$29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例_グラフ背景塗りつぶし_散布図!$I$30:$I$32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8A-4826-BD39-556CED339C78}"/>
            </c:ext>
          </c:extLst>
        </c:ser>
        <c:ser>
          <c:idx val="8"/>
          <c:order val="8"/>
          <c:tx>
            <c:strRef>
              <c:f>例_グラフ背景塗りつぶし_散布図!$J$29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例_グラフ背景塗りつぶし_散布図!$J$30:$J$32</c:f>
              <c:numCache>
                <c:formatCode>General</c:formatCode>
                <c:ptCount val="3"/>
                <c:pt idx="0">
                  <c:v>2.4900000000000002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28A-4826-BD39-556CED339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:03_Qs_Extract2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例_グラフ背景塗りつぶし_散布図!$B$37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例_グラフ背景塗りつぶし_散布図!$B$43:$B$45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52-4F42-BA6B-CB138E39E6A9}"/>
            </c:ext>
          </c:extLst>
        </c:ser>
        <c:ser>
          <c:idx val="1"/>
          <c:order val="1"/>
          <c:tx>
            <c:strRef>
              <c:f>例_グラフ背景塗りつぶし_散布図!$C$37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例_グラフ背景塗りつぶし_散布図!$C$43:$C$45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52-4F42-BA6B-CB138E39E6A9}"/>
            </c:ext>
          </c:extLst>
        </c:ser>
        <c:ser>
          <c:idx val="2"/>
          <c:order val="2"/>
          <c:tx>
            <c:strRef>
              <c:f>例_グラフ背景塗りつぶし_散布図!$D$37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例_グラフ背景塗りつぶし_散布図!$D$43:$D$45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52-4F42-BA6B-CB138E39E6A9}"/>
            </c:ext>
          </c:extLst>
        </c:ser>
        <c:ser>
          <c:idx val="3"/>
          <c:order val="3"/>
          <c:tx>
            <c:strRef>
              <c:f>例_グラフ背景塗りつぶし_散布図!$E$37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例_グラフ背景塗りつぶし_散布図!$E$43:$E$45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52-4F42-BA6B-CB138E39E6A9}"/>
            </c:ext>
          </c:extLst>
        </c:ser>
        <c:ser>
          <c:idx val="4"/>
          <c:order val="4"/>
          <c:tx>
            <c:strRef>
              <c:f>例_グラフ背景塗りつぶし_散布図!$F$37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例_グラフ背景塗りつぶし_散布図!$F$43:$F$45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52-4F42-BA6B-CB138E39E6A9}"/>
            </c:ext>
          </c:extLst>
        </c:ser>
        <c:ser>
          <c:idx val="5"/>
          <c:order val="5"/>
          <c:tx>
            <c:strRef>
              <c:f>例_グラフ背景塗りつぶし_散布図!$G$37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例_グラフ背景塗りつぶし_散布図!$G$43:$G$45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E52-4F42-BA6B-CB138E39E6A9}"/>
            </c:ext>
          </c:extLst>
        </c:ser>
        <c:ser>
          <c:idx val="6"/>
          <c:order val="6"/>
          <c:tx>
            <c:strRef>
              <c:f>例_グラフ背景塗りつぶし_散布図!$H$37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例_グラフ背景塗りつぶし_散布図!$H$43:$H$45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E52-4F42-BA6B-CB138E39E6A9}"/>
            </c:ext>
          </c:extLst>
        </c:ser>
        <c:ser>
          <c:idx val="7"/>
          <c:order val="7"/>
          <c:tx>
            <c:strRef>
              <c:f>例_グラフ背景塗りつぶし_散布図!$I$37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例_グラフ背景塗りつぶし_散布図!$I$43:$I$45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E52-4F42-BA6B-CB138E39E6A9}"/>
            </c:ext>
          </c:extLst>
        </c:ser>
        <c:ser>
          <c:idx val="8"/>
          <c:order val="8"/>
          <c:tx>
            <c:strRef>
              <c:f>例_グラフ背景塗りつぶし_散布図!$J$37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例_グラフ背景塗りつぶし_散布図!$J$43:$J$45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E52-4F42-BA6B-CB138E39E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例_グラフ背景塗りつぶし_散布図!$A$6</c:f>
              <c:strCache>
                <c:ptCount val="1"/>
                <c:pt idx="0">
                  <c:v>X軸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1-4C52-B3F2-3F884784E1A7}"/>
            </c:ext>
          </c:extLst>
        </c:ser>
        <c:ser>
          <c:idx val="1"/>
          <c:order val="1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1-4C52-B3F2-3F884784E1A7}"/>
            </c:ext>
          </c:extLst>
        </c:ser>
        <c:ser>
          <c:idx val="2"/>
          <c:order val="2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1-4C52-B3F2-3F884784E1A7}"/>
            </c:ext>
          </c:extLst>
        </c:ser>
        <c:ser>
          <c:idx val="3"/>
          <c:order val="3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1-4C52-B3F2-3F884784E1A7}"/>
            </c:ext>
          </c:extLst>
        </c:ser>
        <c:ser>
          <c:idx val="4"/>
          <c:order val="4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1-4C52-B3F2-3F884784E1A7}"/>
            </c:ext>
          </c:extLst>
        </c:ser>
        <c:ser>
          <c:idx val="5"/>
          <c:order val="5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1-4C52-B3F2-3F884784E1A7}"/>
            </c:ext>
          </c:extLst>
        </c:ser>
        <c:ser>
          <c:idx val="6"/>
          <c:order val="6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1-4C52-B3F2-3F884784E1A7}"/>
            </c:ext>
          </c:extLst>
        </c:ser>
        <c:ser>
          <c:idx val="7"/>
          <c:order val="7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1-4C52-B3F2-3F884784E1A7}"/>
            </c:ext>
          </c:extLst>
        </c:ser>
        <c:ser>
          <c:idx val="8"/>
          <c:order val="8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1-4C52-B3F2-3F884784E1A7}"/>
            </c:ext>
          </c:extLst>
        </c:ser>
        <c:ser>
          <c:idx val="9"/>
          <c:order val="9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1-4C52-B3F2-3F884784E1A7}"/>
            </c:ext>
          </c:extLst>
        </c:ser>
        <c:ser>
          <c:idx val="10"/>
          <c:order val="10"/>
          <c:tx>
            <c:strRef>
              <c:f>例_グラフ背景塗りつぶし_散布図!$K$6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例_グラフ背景塗りつぶし_散布図!$K$7:$K$9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1-4C52-B3F2-3F884784E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975720"/>
        <c:axId val="604979000"/>
      </c:lineChart>
      <c:catAx>
        <c:axId val="604975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4979000"/>
        <c:crosses val="autoZero"/>
        <c:auto val="1"/>
        <c:lblAlgn val="ctr"/>
        <c:lblOffset val="100"/>
        <c:noMultiLvlLbl val="0"/>
      </c:catAx>
      <c:valAx>
        <c:axId val="604979000"/>
        <c:scaling>
          <c:orientation val="minMax"/>
          <c:max val="0.67000000000000015"/>
          <c:min val="0.640000000000000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4975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手動　散布図代替　折れ線グラフ</a:t>
            </a:r>
          </a:p>
        </c:rich>
      </c:tx>
      <c:layout>
        <c:manualLayout>
          <c:xMode val="edge"/>
          <c:yMode val="edge"/>
          <c:x val="0.2111111111111111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4"/>
          <c:tx>
            <c:strRef>
              <c:f>例_グラフ背景塗りつぶし_散布図!$E$11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accent4">
                <a:alpha val="10000"/>
              </a:scheme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例_グラフ背景塗りつぶし_散布図!$E$12:$E$14</c:f>
              <c:numCache>
                <c:formatCode>General</c:formatCode>
                <c:ptCount val="3"/>
                <c:pt idx="0">
                  <c:v>0.64100000000000001</c:v>
                </c:pt>
                <c:pt idx="1">
                  <c:v>0.64100000000000001</c:v>
                </c:pt>
                <c:pt idx="2">
                  <c:v>0.64100000000000001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04-4763-AB77-91D068724C94}"/>
            </c:ext>
          </c:extLst>
        </c:ser>
        <c:ser>
          <c:idx val="5"/>
          <c:order val="5"/>
          <c:tx>
            <c:strRef>
              <c:f>例_グラフ背景塗りつぶし_散布図!$F$11</c:f>
              <c:strCache>
                <c:ptCount val="1"/>
                <c:pt idx="0">
                  <c:v>middle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例_グラフ背景塗りつぶし_散布図!$F$12:$F$14</c:f>
              <c:numCache>
                <c:formatCode>General</c:formatCode>
                <c:ptCount val="3"/>
                <c:pt idx="0">
                  <c:v>0.65100000000000002</c:v>
                </c:pt>
                <c:pt idx="1">
                  <c:v>0.65100000000000002</c:v>
                </c:pt>
                <c:pt idx="2">
                  <c:v>0.65100000000000002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D04-4763-AB77-91D068724C94}"/>
            </c:ext>
          </c:extLst>
        </c:ser>
        <c:ser>
          <c:idx val="6"/>
          <c:order val="6"/>
          <c:tx>
            <c:strRef>
              <c:f>例_グラフ背景塗りつぶし_散布図!$G$11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例_グラフ背景塗りつぶし_散布図!$G$12:$G$14</c:f>
              <c:numCache>
                <c:formatCode>General</c:formatCode>
                <c:ptCount val="3"/>
                <c:pt idx="0">
                  <c:v>0.67100000000000004</c:v>
                </c:pt>
                <c:pt idx="1">
                  <c:v>0.67100000000000004</c:v>
                </c:pt>
                <c:pt idx="2">
                  <c:v>0.67100000000000004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D04-4763-AB77-91D068724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50310776"/>
        <c:axId val="650311432"/>
      </c:barChart>
      <c:lineChart>
        <c:grouping val="standard"/>
        <c:varyColors val="0"/>
        <c:ser>
          <c:idx val="1"/>
          <c:order val="1"/>
          <c:tx>
            <c:strRef>
              <c:f>例_グラフ背景塗りつぶし_散布図!$B$11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例_グラフ背景塗りつぶし_散布図!$B$12:$B$14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4-4763-AB77-91D068724C94}"/>
            </c:ext>
          </c:extLst>
        </c:ser>
        <c:ser>
          <c:idx val="3"/>
          <c:order val="3"/>
          <c:tx>
            <c:strRef>
              <c:f>例_グラフ背景塗りつぶし_散布図!$D$11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例_グラフ背景塗りつぶし_散布図!$D$12:$D$14</c:f>
              <c:numCache>
                <c:formatCode>General</c:formatCode>
                <c:ptCount val="3"/>
                <c:pt idx="0">
                  <c:v>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D04-4763-AB77-91D068724C94}"/>
            </c:ext>
          </c:extLst>
        </c:ser>
        <c:ser>
          <c:idx val="2"/>
          <c:order val="2"/>
          <c:tx>
            <c:strRef>
              <c:f>例_グラフ背景塗りつぶし_散布図!$C$11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例_グラフ背景塗りつぶし_散布図!$C$12:$C$14</c:f>
              <c:numCache>
                <c:formatCode>General</c:formatCode>
                <c:ptCount val="3"/>
                <c:pt idx="0">
                  <c:v>0.65500000000000003</c:v>
                </c:pt>
                <c:pt idx="2">
                  <c:v>0.66100000000000003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763-AB77-91D068724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310776"/>
        <c:axId val="6503114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例_グラフ背景塗りつぶし_散布図!$A$11</c15:sqref>
                        </c15:formulaRef>
                      </c:ext>
                    </c:extLst>
                    <c:strCache>
                      <c:ptCount val="1"/>
                      <c:pt idx="0">
                        <c:v>X軸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D04-4763-AB77-91D068724C94}"/>
                  </c:ext>
                </c:extLst>
              </c15:ser>
            </c15:filteredLineSeries>
          </c:ext>
        </c:extLst>
      </c:lineChart>
      <c:catAx>
        <c:axId val="650310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50311432"/>
        <c:crosses val="autoZero"/>
        <c:auto val="1"/>
        <c:lblAlgn val="ctr"/>
        <c:lblOffset val="100"/>
        <c:noMultiLvlLbl val="0"/>
      </c:catAx>
      <c:valAx>
        <c:axId val="65031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50310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22-4FEB-9B94-D3E6975555F7}"/>
            </c:ext>
          </c:extLst>
        </c:ser>
        <c:ser>
          <c:idx val="1"/>
          <c:order val="1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22-4FEB-9B94-D3E6975555F7}"/>
            </c:ext>
          </c:extLst>
        </c:ser>
        <c:ser>
          <c:idx val="2"/>
          <c:order val="2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22-4FEB-9B94-D3E6975555F7}"/>
            </c:ext>
          </c:extLst>
        </c:ser>
        <c:ser>
          <c:idx val="3"/>
          <c:order val="3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22-4FEB-9B94-D3E6975555F7}"/>
            </c:ext>
          </c:extLst>
        </c:ser>
        <c:ser>
          <c:idx val="4"/>
          <c:order val="4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722-4FEB-9B94-D3E6975555F7}"/>
            </c:ext>
          </c:extLst>
        </c:ser>
        <c:ser>
          <c:idx val="5"/>
          <c:order val="5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722-4FEB-9B94-D3E6975555F7}"/>
            </c:ext>
          </c:extLst>
        </c:ser>
        <c:ser>
          <c:idx val="6"/>
          <c:order val="6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722-4FEB-9B94-D3E6975555F7}"/>
            </c:ext>
          </c:extLst>
        </c:ser>
        <c:ser>
          <c:idx val="7"/>
          <c:order val="7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722-4FEB-9B94-D3E6975555F7}"/>
            </c:ext>
          </c:extLst>
        </c:ser>
        <c:ser>
          <c:idx val="8"/>
          <c:order val="8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722-4FEB-9B94-D3E6975555F7}"/>
            </c:ext>
          </c:extLst>
        </c:ser>
        <c:ser>
          <c:idx val="9"/>
          <c:order val="9"/>
          <c:tx>
            <c:strRef>
              <c:f>例_グラフ背景塗りつぶし_散布図!$K$6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例_グラフ背景塗りつぶし_散布図!$K$7:$K$9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722-4FEB-9B94-D3E697555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316024"/>
        <c:axId val="650316352"/>
      </c:scatterChart>
      <c:valAx>
        <c:axId val="650316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50316352"/>
        <c:crosses val="autoZero"/>
        <c:crossBetween val="midCat"/>
      </c:valAx>
      <c:valAx>
        <c:axId val="65031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50316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例_グラフ背景塗りつぶし_散布図!$B$11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例_グラフ背景塗りつぶし_散布図!$B$12:$B$14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85-426D-880D-BC6BFF21ED64}"/>
            </c:ext>
          </c:extLst>
        </c:ser>
        <c:ser>
          <c:idx val="1"/>
          <c:order val="1"/>
          <c:tx>
            <c:strRef>
              <c:f>例_グラフ背景塗りつぶし_散布図!$C$11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例_グラフ背景塗りつぶし_散布図!$C$12:$C$14</c:f>
              <c:numCache>
                <c:formatCode>General</c:formatCode>
                <c:ptCount val="3"/>
                <c:pt idx="0">
                  <c:v>0.65500000000000003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85-426D-880D-BC6BFF21ED64}"/>
            </c:ext>
          </c:extLst>
        </c:ser>
        <c:ser>
          <c:idx val="2"/>
          <c:order val="2"/>
          <c:tx>
            <c:strRef>
              <c:f>例_グラフ背景塗りつぶし_散布図!$D$11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例_グラフ背景塗りつぶし_散布図!$D$12:$D$14</c:f>
              <c:numCache>
                <c:formatCode>General</c:formatCode>
                <c:ptCount val="3"/>
                <c:pt idx="0">
                  <c:v>0.66300000000000003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85-426D-880D-BC6BFF21E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883664"/>
        <c:axId val="607886616"/>
      </c:scatterChart>
      <c:valAx>
        <c:axId val="607883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7886616"/>
        <c:crosses val="autoZero"/>
        <c:crossBetween val="midCat"/>
      </c:valAx>
      <c:valAx>
        <c:axId val="607886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7883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C-46D7-8411-EEDF95963870}"/>
            </c:ext>
          </c:extLst>
        </c:ser>
        <c:ser>
          <c:idx val="1"/>
          <c:order val="1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1C-46D7-8411-EEDF95963870}"/>
            </c:ext>
          </c:extLst>
        </c:ser>
        <c:ser>
          <c:idx val="2"/>
          <c:order val="2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1C-46D7-8411-EEDF95963870}"/>
            </c:ext>
          </c:extLst>
        </c:ser>
        <c:ser>
          <c:idx val="3"/>
          <c:order val="3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1C-46D7-8411-EEDF95963870}"/>
            </c:ext>
          </c:extLst>
        </c:ser>
        <c:ser>
          <c:idx val="4"/>
          <c:order val="4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1C-46D7-8411-EEDF95963870}"/>
            </c:ext>
          </c:extLst>
        </c:ser>
        <c:ser>
          <c:idx val="5"/>
          <c:order val="5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41C-46D7-8411-EEDF95963870}"/>
            </c:ext>
          </c:extLst>
        </c:ser>
        <c:ser>
          <c:idx val="6"/>
          <c:order val="6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41C-46D7-8411-EEDF95963870}"/>
            </c:ext>
          </c:extLst>
        </c:ser>
        <c:ser>
          <c:idx val="7"/>
          <c:order val="7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41C-46D7-8411-EEDF95963870}"/>
            </c:ext>
          </c:extLst>
        </c:ser>
        <c:ser>
          <c:idx val="8"/>
          <c:order val="8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41C-46D7-8411-EEDF95963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027728"/>
        <c:axId val="615034944"/>
      </c:scatterChart>
      <c:valAx>
        <c:axId val="61502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5034944"/>
        <c:crosses val="autoZero"/>
        <c:crossBetween val="midCat"/>
      </c:valAx>
      <c:valAx>
        <c:axId val="615034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50277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image" Target="../media/image1.emf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6</xdr:col>
      <xdr:colOff>457200</xdr:colOff>
      <xdr:row>15</xdr:row>
      <xdr:rowOff>123825</xdr:rowOff>
    </xdr:to>
    <xdr:graphicFrame macro="">
      <xdr:nvGraphicFramePr>
        <xdr:cNvPr id="12" name="graph_summary_1">
          <a:extLst>
            <a:ext uri="{FF2B5EF4-FFF2-40B4-BE49-F238E27FC236}">
              <a16:creationId xmlns:a16="http://schemas.microsoft.com/office/drawing/2014/main" id="{F8528E12-608C-4C43-BB3D-EE1A433C55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</xdr:row>
      <xdr:rowOff>0</xdr:rowOff>
    </xdr:from>
    <xdr:to>
      <xdr:col>16</xdr:col>
      <xdr:colOff>457200</xdr:colOff>
      <xdr:row>15</xdr:row>
      <xdr:rowOff>123825</xdr:rowOff>
    </xdr:to>
    <xdr:graphicFrame macro="">
      <xdr:nvGraphicFramePr>
        <xdr:cNvPr id="13" name="graph_summary_2">
          <a:extLst>
            <a:ext uri="{FF2B5EF4-FFF2-40B4-BE49-F238E27FC236}">
              <a16:creationId xmlns:a16="http://schemas.microsoft.com/office/drawing/2014/main" id="{B40A0DA3-76B5-487A-82EF-3C4CA82002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</xdr:row>
      <xdr:rowOff>0</xdr:rowOff>
    </xdr:from>
    <xdr:to>
      <xdr:col>26</xdr:col>
      <xdr:colOff>457200</xdr:colOff>
      <xdr:row>15</xdr:row>
      <xdr:rowOff>123825</xdr:rowOff>
    </xdr:to>
    <xdr:graphicFrame macro="">
      <xdr:nvGraphicFramePr>
        <xdr:cNvPr id="14" name="graph_summary_3">
          <a:extLst>
            <a:ext uri="{FF2B5EF4-FFF2-40B4-BE49-F238E27FC236}">
              <a16:creationId xmlns:a16="http://schemas.microsoft.com/office/drawing/2014/main" id="{E40AA23B-B1F0-4DA6-8D1C-85270732AF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4</xdr:row>
      <xdr:rowOff>0</xdr:rowOff>
    </xdr:from>
    <xdr:to>
      <xdr:col>36</xdr:col>
      <xdr:colOff>457200</xdr:colOff>
      <xdr:row>15</xdr:row>
      <xdr:rowOff>123825</xdr:rowOff>
    </xdr:to>
    <xdr:graphicFrame macro="">
      <xdr:nvGraphicFramePr>
        <xdr:cNvPr id="15" name="graph_summary_4">
          <a:extLst>
            <a:ext uri="{FF2B5EF4-FFF2-40B4-BE49-F238E27FC236}">
              <a16:creationId xmlns:a16="http://schemas.microsoft.com/office/drawing/2014/main" id="{DE4A87B7-8D70-4D42-ABB6-E63889FB46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0</xdr:colOff>
      <xdr:row>4</xdr:row>
      <xdr:rowOff>0</xdr:rowOff>
    </xdr:from>
    <xdr:to>
      <xdr:col>46</xdr:col>
      <xdr:colOff>457200</xdr:colOff>
      <xdr:row>15</xdr:row>
      <xdr:rowOff>123825</xdr:rowOff>
    </xdr:to>
    <xdr:graphicFrame macro="">
      <xdr:nvGraphicFramePr>
        <xdr:cNvPr id="16" name="graph_summary_5">
          <a:extLst>
            <a:ext uri="{FF2B5EF4-FFF2-40B4-BE49-F238E27FC236}">
              <a16:creationId xmlns:a16="http://schemas.microsoft.com/office/drawing/2014/main" id="{22823644-B0AB-46C2-B174-5E4B3AE0B8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50</xdr:col>
      <xdr:colOff>0</xdr:colOff>
      <xdr:row>4</xdr:row>
      <xdr:rowOff>0</xdr:rowOff>
    </xdr:from>
    <xdr:to>
      <xdr:col>56</xdr:col>
      <xdr:colOff>457200</xdr:colOff>
      <xdr:row>15</xdr:row>
      <xdr:rowOff>123825</xdr:rowOff>
    </xdr:to>
    <xdr:graphicFrame macro="">
      <xdr:nvGraphicFramePr>
        <xdr:cNvPr id="17" name="graph_summary_6">
          <a:extLst>
            <a:ext uri="{FF2B5EF4-FFF2-40B4-BE49-F238E27FC236}">
              <a16:creationId xmlns:a16="http://schemas.microsoft.com/office/drawing/2014/main" id="{18C504AC-1C02-43E6-B7A3-16DE392C1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0</xdr:row>
      <xdr:rowOff>190500</xdr:rowOff>
    </xdr:from>
    <xdr:to>
      <xdr:col>10</xdr:col>
      <xdr:colOff>485775</xdr:colOff>
      <xdr:row>12</xdr:row>
      <xdr:rowOff>76200</xdr:rowOff>
    </xdr:to>
    <xdr:graphicFrame macro="">
      <xdr:nvGraphicFramePr>
        <xdr:cNvPr id="4" name="graph_summary_0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10</xdr:col>
      <xdr:colOff>457200</xdr:colOff>
      <xdr:row>24</xdr:row>
      <xdr:rowOff>123825</xdr:rowOff>
    </xdr:to>
    <xdr:graphicFrame macro="">
      <xdr:nvGraphicFramePr>
        <xdr:cNvPr id="5" name="graph_summary_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10</xdr:col>
      <xdr:colOff>457200</xdr:colOff>
      <xdr:row>32</xdr:row>
      <xdr:rowOff>123825</xdr:rowOff>
    </xdr:to>
    <xdr:graphicFrame macro="">
      <xdr:nvGraphicFramePr>
        <xdr:cNvPr id="6" name="graph_summary_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10</xdr:col>
      <xdr:colOff>457200</xdr:colOff>
      <xdr:row>40</xdr:row>
      <xdr:rowOff>123825</xdr:rowOff>
    </xdr:to>
    <xdr:graphicFrame macro="">
      <xdr:nvGraphicFramePr>
        <xdr:cNvPr id="7" name="graph_summary_3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847725</xdr:colOff>
      <xdr:row>5</xdr:row>
      <xdr:rowOff>61912</xdr:rowOff>
    </xdr:from>
    <xdr:to>
      <xdr:col>12</xdr:col>
      <xdr:colOff>85725</xdr:colOff>
      <xdr:row>16</xdr:row>
      <xdr:rowOff>185737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30</xdr:row>
      <xdr:rowOff>0</xdr:rowOff>
    </xdr:from>
    <xdr:to>
      <xdr:col>10</xdr:col>
      <xdr:colOff>642937</xdr:colOff>
      <xdr:row>44</xdr:row>
      <xdr:rowOff>47625</xdr:rowOff>
    </xdr:to>
    <xdr:graphicFrame macro="">
      <xdr:nvGraphicFramePr>
        <xdr:cNvPr id="2" name="graph_scatter_0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35</xdr:row>
      <xdr:rowOff>47625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36</xdr:row>
      <xdr:rowOff>0</xdr:rowOff>
    </xdr:from>
    <xdr:to>
      <xdr:col>9</xdr:col>
      <xdr:colOff>519112</xdr:colOff>
      <xdr:row>50</xdr:row>
      <xdr:rowOff>47625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590550</xdr:colOff>
      <xdr:row>60</xdr:row>
      <xdr:rowOff>9525</xdr:rowOff>
    </xdr:from>
    <xdr:to>
      <xdr:col>9</xdr:col>
      <xdr:colOff>423862</xdr:colOff>
      <xdr:row>74</xdr:row>
      <xdr:rowOff>57150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485775</xdr:colOff>
      <xdr:row>20</xdr:row>
      <xdr:rowOff>4761</xdr:rowOff>
    </xdr:from>
    <xdr:to>
      <xdr:col>12</xdr:col>
      <xdr:colOff>276225</xdr:colOff>
      <xdr:row>37</xdr:row>
      <xdr:rowOff>57149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661987</xdr:colOff>
      <xdr:row>5</xdr:row>
      <xdr:rowOff>119062</xdr:rowOff>
    </xdr:from>
    <xdr:to>
      <xdr:col>19</xdr:col>
      <xdr:colOff>433387</xdr:colOff>
      <xdr:row>17</xdr:row>
      <xdr:rowOff>4762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452437</xdr:colOff>
      <xdr:row>1</xdr:row>
      <xdr:rowOff>138112</xdr:rowOff>
    </xdr:from>
    <xdr:to>
      <xdr:col>18</xdr:col>
      <xdr:colOff>223837</xdr:colOff>
      <xdr:row>13</xdr:row>
      <xdr:rowOff>23812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61912</xdr:colOff>
      <xdr:row>5</xdr:row>
      <xdr:rowOff>157162</xdr:rowOff>
    </xdr:from>
    <xdr:to>
      <xdr:col>19</xdr:col>
      <xdr:colOff>519112</xdr:colOff>
      <xdr:row>17</xdr:row>
      <xdr:rowOff>42862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628650</xdr:colOff>
      <xdr:row>2</xdr:row>
      <xdr:rowOff>95250</xdr:rowOff>
    </xdr:from>
    <xdr:to>
      <xdr:col>15</xdr:col>
      <xdr:colOff>76200</xdr:colOff>
      <xdr:row>13</xdr:row>
      <xdr:rowOff>219075</xdr:rowOff>
    </xdr:to>
    <xdr:graphicFrame macro="">
      <xdr:nvGraphicFramePr>
        <xdr:cNvPr id="19" name="graph_summary_1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workbookViewId="0">
      <selection activeCell="G6" sqref="G6"/>
    </sheetView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64</v>
      </c>
    </row>
    <row r="2" spans="1:22">
      <c r="A2" s="13" t="s">
        <v>65</v>
      </c>
    </row>
    <row r="4" spans="1:22">
      <c r="E4" s="13" t="s">
        <v>292</v>
      </c>
    </row>
    <row r="5" spans="1:22">
      <c r="E5" s="13" t="s">
        <v>291</v>
      </c>
    </row>
    <row r="7" spans="1:22">
      <c r="E7" s="13" t="s">
        <v>130</v>
      </c>
    </row>
    <row r="9" spans="1:22">
      <c r="E9" s="13" t="s">
        <v>218</v>
      </c>
    </row>
    <row r="10" spans="1:22" ht="45.75" customHeight="1"/>
    <row r="11" spans="1:22" ht="45.75" customHeight="1"/>
    <row r="12" spans="1:22">
      <c r="A12" s="29" t="s">
        <v>63</v>
      </c>
      <c r="B12" s="28"/>
      <c r="C12" s="28"/>
      <c r="D12" s="28" t="s">
        <v>66</v>
      </c>
      <c r="E12" s="28"/>
      <c r="F12" s="28"/>
      <c r="I12" s="28"/>
      <c r="J12" s="28" t="s">
        <v>112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2">
      <c r="A13" s="28"/>
      <c r="B13" s="28"/>
      <c r="C13" s="28"/>
      <c r="D13" s="28" t="s">
        <v>111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2">
      <c r="A14" s="28"/>
      <c r="B14" s="28">
        <v>3</v>
      </c>
      <c r="C14" s="28"/>
      <c r="D14" s="30"/>
      <c r="E14" s="31" t="s">
        <v>0</v>
      </c>
      <c r="F14" s="31" t="s">
        <v>117</v>
      </c>
      <c r="G14" s="28"/>
      <c r="H14" s="28"/>
      <c r="J14" s="16" t="s">
        <v>114</v>
      </c>
      <c r="K14" s="16" t="s">
        <v>113</v>
      </c>
      <c r="L14" s="16" t="s">
        <v>114</v>
      </c>
      <c r="M14" s="16" t="s">
        <v>104</v>
      </c>
      <c r="N14" s="16" t="s">
        <v>114</v>
      </c>
      <c r="O14" s="16" t="s">
        <v>106</v>
      </c>
      <c r="P14" s="16" t="s">
        <v>114</v>
      </c>
      <c r="Q14" s="16" t="s">
        <v>107</v>
      </c>
      <c r="R14" s="16" t="s">
        <v>114</v>
      </c>
      <c r="S14" s="16" t="s">
        <v>108</v>
      </c>
      <c r="T14" s="16" t="s">
        <v>114</v>
      </c>
      <c r="U14" s="16" t="s">
        <v>109</v>
      </c>
      <c r="V14" s="28"/>
    </row>
    <row r="15" spans="1:22">
      <c r="A15" s="28"/>
      <c r="B15" s="28"/>
      <c r="C15" s="28"/>
      <c r="D15" s="14" t="s">
        <v>115</v>
      </c>
      <c r="E15" s="14" t="s">
        <v>84</v>
      </c>
      <c r="F15" s="14" t="s">
        <v>24</v>
      </c>
      <c r="G15" s="28"/>
      <c r="H15" s="28"/>
      <c r="J15" s="14" t="s">
        <v>115</v>
      </c>
      <c r="K15" s="14">
        <v>1100000000000</v>
      </c>
      <c r="L15" s="14"/>
      <c r="M15" s="14">
        <v>200000000000</v>
      </c>
      <c r="N15" s="14" t="s">
        <v>115</v>
      </c>
      <c r="O15" s="14">
        <v>5200000000000</v>
      </c>
      <c r="P15" s="14"/>
      <c r="Q15" s="14">
        <v>1</v>
      </c>
      <c r="R15" s="14" t="s">
        <v>115</v>
      </c>
      <c r="S15" s="14">
        <v>311000000000</v>
      </c>
      <c r="T15" s="14"/>
      <c r="U15" s="14">
        <v>-1.1000000000000001</v>
      </c>
      <c r="V15" s="28"/>
    </row>
    <row r="16" spans="1:22">
      <c r="A16" s="28"/>
      <c r="B16" s="28"/>
      <c r="C16" s="28"/>
      <c r="D16" s="14" t="s">
        <v>115</v>
      </c>
      <c r="E16" s="14" t="s">
        <v>68</v>
      </c>
      <c r="F16" s="14" t="s">
        <v>24</v>
      </c>
      <c r="G16" s="28"/>
      <c r="H16" s="28"/>
      <c r="J16" s="14" t="s">
        <v>115</v>
      </c>
      <c r="K16" s="14">
        <v>1200000000000</v>
      </c>
      <c r="L16" s="14"/>
      <c r="M16" s="14">
        <v>300000000000</v>
      </c>
      <c r="N16" s="14" t="s">
        <v>115</v>
      </c>
      <c r="O16" s="14">
        <v>5300000000000</v>
      </c>
      <c r="P16" s="14"/>
      <c r="Q16" s="14">
        <v>2</v>
      </c>
      <c r="R16" s="14" t="s">
        <v>115</v>
      </c>
      <c r="S16" s="14">
        <v>330000000000</v>
      </c>
      <c r="T16" s="14"/>
      <c r="U16" s="14">
        <v>-1.2</v>
      </c>
      <c r="V16" s="28"/>
    </row>
    <row r="17" spans="1:22">
      <c r="A17" s="28"/>
      <c r="B17" s="28"/>
      <c r="C17" s="28"/>
      <c r="D17" s="14" t="s">
        <v>115</v>
      </c>
      <c r="E17" s="14" t="s">
        <v>70</v>
      </c>
      <c r="F17" s="14" t="s">
        <v>24</v>
      </c>
      <c r="G17" s="28"/>
      <c r="H17" s="28"/>
      <c r="J17" s="14" t="s">
        <v>115</v>
      </c>
      <c r="K17" s="14">
        <v>1300000000000</v>
      </c>
      <c r="L17" s="14"/>
      <c r="M17" s="14"/>
      <c r="N17" s="14"/>
      <c r="O17" s="14">
        <v>5400000000000</v>
      </c>
      <c r="P17" s="14"/>
      <c r="Q17" s="14">
        <v>3</v>
      </c>
      <c r="R17" s="14" t="s">
        <v>115</v>
      </c>
      <c r="S17" s="14">
        <v>360000000000</v>
      </c>
      <c r="T17" s="14"/>
      <c r="U17" s="14">
        <v>-1.3</v>
      </c>
      <c r="V17" s="28"/>
    </row>
    <row r="18" spans="1:22">
      <c r="A18" s="28"/>
      <c r="B18" s="28"/>
      <c r="C18" s="28"/>
      <c r="D18" s="14" t="s">
        <v>115</v>
      </c>
      <c r="E18" s="14" t="s">
        <v>74</v>
      </c>
      <c r="F18" s="14" t="s">
        <v>118</v>
      </c>
      <c r="G18" s="28"/>
      <c r="H18" s="28"/>
      <c r="J18" s="14"/>
      <c r="K18" s="14">
        <v>1400000000000</v>
      </c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</row>
    <row r="19" spans="1:22">
      <c r="A19" s="28"/>
      <c r="B19" s="28"/>
      <c r="C19" s="28"/>
      <c r="D19" s="14" t="s">
        <v>115</v>
      </c>
      <c r="E19" s="14" t="s">
        <v>85</v>
      </c>
      <c r="F19" s="14" t="s">
        <v>119</v>
      </c>
      <c r="G19" s="28"/>
      <c r="H19" s="28"/>
      <c r="V19" s="28"/>
    </row>
    <row r="20" spans="1:22">
      <c r="G20" s="28"/>
      <c r="H20" s="28"/>
      <c r="V20" s="28"/>
    </row>
  </sheetData>
  <phoneticPr fontId="1"/>
  <dataValidations count="1">
    <dataValidation type="list" allowBlank="1" showInputMessage="1" showErrorMessage="1" sqref="D14:D19 P15:P19 L15:L19 N15:N19 J15:J19 R15:R19 T15:T19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I13"/>
  <sheetViews>
    <sheetView workbookViewId="0">
      <selection activeCell="B19" sqref="B19"/>
    </sheetView>
  </sheetViews>
  <sheetFormatPr defaultRowHeight="18.75"/>
  <cols>
    <col min="1" max="1" width="21.875" customWidth="1"/>
  </cols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262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263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264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265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266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267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268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269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270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271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272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273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7A9B-8C5F-47F8-B7DA-BBA43ED381AC}">
  <sheetPr codeName="Sheet11">
    <tabColor theme="9"/>
  </sheetPr>
  <dimension ref="A1:H7"/>
  <sheetViews>
    <sheetView workbookViewId="0">
      <selection activeCell="B5" sqref="B5"/>
    </sheetView>
  </sheetViews>
  <sheetFormatPr defaultRowHeight="18.75"/>
  <cols>
    <col min="1" max="1" width="13" bestFit="1" customWidth="1"/>
    <col min="4" max="4" width="9.5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117</v>
      </c>
      <c r="F1" s="2" t="s">
        <v>8</v>
      </c>
      <c r="G1" s="2" t="s">
        <v>9</v>
      </c>
      <c r="H1" s="2" t="s">
        <v>10</v>
      </c>
    </row>
    <row r="2" spans="1:8">
      <c r="A2" t="s">
        <v>5</v>
      </c>
      <c r="B2" s="1">
        <v>2.41</v>
      </c>
      <c r="C2" s="2" t="s">
        <v>4</v>
      </c>
      <c r="E2" s="2" t="s">
        <v>30</v>
      </c>
      <c r="F2" s="2"/>
      <c r="G2" s="2"/>
      <c r="H2" s="2"/>
    </row>
    <row r="3" spans="1:8">
      <c r="A3" t="s">
        <v>69</v>
      </c>
      <c r="B3" s="1">
        <v>0.66700000000000004</v>
      </c>
      <c r="C3" s="2" t="s">
        <v>6</v>
      </c>
      <c r="D3" s="1">
        <v>0.65500000000000003</v>
      </c>
      <c r="E3" s="2" t="s">
        <v>24</v>
      </c>
      <c r="F3" s="2"/>
      <c r="G3" s="2"/>
      <c r="H3" s="2"/>
    </row>
    <row r="4" spans="1:8">
      <c r="A4" t="s">
        <v>71</v>
      </c>
      <c r="B4" s="1">
        <v>6.3E-2</v>
      </c>
      <c r="C4" s="2" t="s">
        <v>6</v>
      </c>
      <c r="D4" s="2"/>
      <c r="E4" s="2" t="s">
        <v>24</v>
      </c>
      <c r="F4" s="2"/>
      <c r="G4" s="2"/>
      <c r="H4" s="2"/>
    </row>
    <row r="5" spans="1:8">
      <c r="A5" t="s">
        <v>7</v>
      </c>
      <c r="B5" s="2"/>
      <c r="C5" s="2" t="s">
        <v>6</v>
      </c>
      <c r="D5" s="41">
        <v>1.5</v>
      </c>
      <c r="E5" s="2" t="s">
        <v>118</v>
      </c>
      <c r="F5" s="2"/>
      <c r="G5" s="2"/>
    </row>
    <row r="6" spans="1:8">
      <c r="A6" t="s">
        <v>83</v>
      </c>
      <c r="B6" s="3">
        <v>0.39700000000000002</v>
      </c>
      <c r="C6" s="2" t="s">
        <v>6</v>
      </c>
      <c r="D6" s="1">
        <v>0.391666666666667</v>
      </c>
      <c r="E6" s="2" t="s">
        <v>119</v>
      </c>
      <c r="F6" s="2"/>
      <c r="G6" s="2"/>
      <c r="H6" s="2"/>
    </row>
    <row r="7" spans="1:8">
      <c r="A7" t="s">
        <v>76</v>
      </c>
      <c r="E7" t="s">
        <v>24</v>
      </c>
      <c r="H7" s="2" t="s">
        <v>11</v>
      </c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6956C-1032-4548-994F-3F2E48073BC0}">
  <sheetPr codeName="Sheet22">
    <tabColor theme="9"/>
  </sheetPr>
  <dimension ref="A1:Q16"/>
  <sheetViews>
    <sheetView workbookViewId="0">
      <selection activeCell="B9" sqref="B9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>
      <selection activeCell="I8" sqref="I8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AI20"/>
  <sheetViews>
    <sheetView tabSelected="1" zoomScale="85" zoomScaleNormal="85" workbookViewId="0">
      <selection activeCell="AE23" sqref="AE23"/>
    </sheetView>
  </sheetViews>
  <sheetFormatPr defaultRowHeight="18.75"/>
  <sheetData>
    <row r="1" spans="1:35">
      <c r="A1" t="s">
        <v>293</v>
      </c>
    </row>
    <row r="5" spans="1:35">
      <c r="A5" t="s">
        <v>209</v>
      </c>
      <c r="B5" t="s">
        <v>24</v>
      </c>
      <c r="G5" t="s">
        <v>209</v>
      </c>
      <c r="H5" t="s">
        <v>118</v>
      </c>
      <c r="M5" t="s">
        <v>209</v>
      </c>
      <c r="N5" t="s">
        <v>118</v>
      </c>
      <c r="S5" t="s">
        <v>209</v>
      </c>
      <c r="T5" t="s">
        <v>24</v>
      </c>
      <c r="Y5" t="s">
        <v>209</v>
      </c>
      <c r="Z5" t="s">
        <v>24</v>
      </c>
      <c r="AE5" t="s">
        <v>209</v>
      </c>
      <c r="AF5" t="s">
        <v>119</v>
      </c>
    </row>
    <row r="6" spans="1:35">
      <c r="A6" t="s">
        <v>210</v>
      </c>
      <c r="B6" t="s">
        <v>311</v>
      </c>
      <c r="G6" t="s">
        <v>210</v>
      </c>
      <c r="H6" t="s">
        <v>36</v>
      </c>
      <c r="M6" t="s">
        <v>210</v>
      </c>
      <c r="N6" t="s">
        <v>38</v>
      </c>
      <c r="S6" t="s">
        <v>210</v>
      </c>
      <c r="T6" t="s">
        <v>41</v>
      </c>
      <c r="Y6" t="s">
        <v>210</v>
      </c>
      <c r="Z6" t="s">
        <v>42</v>
      </c>
      <c r="AE6" t="s">
        <v>210</v>
      </c>
      <c r="AF6" t="s">
        <v>36</v>
      </c>
    </row>
    <row r="7" spans="1:35">
      <c r="A7" t="s">
        <v>212</v>
      </c>
      <c r="B7" t="s">
        <v>213</v>
      </c>
      <c r="C7" t="s">
        <v>303</v>
      </c>
      <c r="D7" t="s">
        <v>303</v>
      </c>
      <c r="E7" t="s">
        <v>303</v>
      </c>
      <c r="G7" t="s">
        <v>212</v>
      </c>
      <c r="H7" t="s">
        <v>214</v>
      </c>
      <c r="I7" t="s">
        <v>303</v>
      </c>
      <c r="J7" t="s">
        <v>303</v>
      </c>
      <c r="M7" t="s">
        <v>212</v>
      </c>
      <c r="N7" t="s">
        <v>215</v>
      </c>
      <c r="O7" t="s">
        <v>303</v>
      </c>
      <c r="P7" t="s">
        <v>303</v>
      </c>
      <c r="S7" t="s">
        <v>212</v>
      </c>
      <c r="T7" t="s">
        <v>213</v>
      </c>
      <c r="U7" t="s">
        <v>303</v>
      </c>
      <c r="Y7" t="s">
        <v>212</v>
      </c>
      <c r="Z7" t="s">
        <v>213</v>
      </c>
      <c r="AE7" t="s">
        <v>212</v>
      </c>
      <c r="AF7" t="s">
        <v>119</v>
      </c>
      <c r="AG7" t="s">
        <v>303</v>
      </c>
      <c r="AH7" t="s">
        <v>303</v>
      </c>
      <c r="AI7" t="s">
        <v>303</v>
      </c>
    </row>
    <row r="8" spans="1:35">
      <c r="A8" t="s">
        <v>211</v>
      </c>
      <c r="B8" t="s">
        <v>68</v>
      </c>
      <c r="C8" t="s">
        <v>305</v>
      </c>
      <c r="D8" t="s">
        <v>307</v>
      </c>
      <c r="E8" t="s">
        <v>304</v>
      </c>
      <c r="G8" t="s">
        <v>211</v>
      </c>
      <c r="H8" t="s">
        <v>70</v>
      </c>
      <c r="I8" t="s">
        <v>307</v>
      </c>
      <c r="J8" t="s">
        <v>304</v>
      </c>
      <c r="M8" t="s">
        <v>211</v>
      </c>
      <c r="N8" t="s">
        <v>74</v>
      </c>
      <c r="O8" t="s">
        <v>305</v>
      </c>
      <c r="P8" t="s">
        <v>304</v>
      </c>
      <c r="S8" t="s">
        <v>211</v>
      </c>
      <c r="T8" t="s">
        <v>84</v>
      </c>
      <c r="U8" t="s">
        <v>307</v>
      </c>
      <c r="Y8" t="s">
        <v>211</v>
      </c>
      <c r="Z8" t="s">
        <v>312</v>
      </c>
      <c r="AE8" t="s">
        <v>211</v>
      </c>
      <c r="AF8" t="s">
        <v>85</v>
      </c>
      <c r="AG8" t="s">
        <v>305</v>
      </c>
      <c r="AH8" t="s">
        <v>307</v>
      </c>
      <c r="AI8" t="s">
        <v>304</v>
      </c>
    </row>
    <row r="9" spans="1:35">
      <c r="A9" t="s">
        <v>15</v>
      </c>
      <c r="B9">
        <v>0.64900000000000002</v>
      </c>
      <c r="C9">
        <v>0.65500000000000003</v>
      </c>
      <c r="D9">
        <v>1.2000000000000011E-2</v>
      </c>
      <c r="E9">
        <v>6.1999999999999833E-3</v>
      </c>
      <c r="G9" t="s">
        <v>15</v>
      </c>
      <c r="H9">
        <v>6.1600000000000002E-2</v>
      </c>
      <c r="I9">
        <v>6.3E-2</v>
      </c>
      <c r="J9">
        <v>1.0199999999999931E-3</v>
      </c>
      <c r="M9" t="s">
        <v>15</v>
      </c>
      <c r="N9">
        <v>2.33</v>
      </c>
      <c r="O9">
        <v>1.5</v>
      </c>
      <c r="P9">
        <v>0.94</v>
      </c>
      <c r="S9" t="s">
        <v>15</v>
      </c>
      <c r="T9">
        <v>2.29</v>
      </c>
      <c r="U9">
        <v>2.41</v>
      </c>
      <c r="Y9" t="s">
        <v>15</v>
      </c>
      <c r="Z9">
        <v>0.2</v>
      </c>
      <c r="AE9" t="s">
        <v>15</v>
      </c>
      <c r="AF9">
        <v>0.4</v>
      </c>
      <c r="AG9">
        <v>0.391666666666667</v>
      </c>
      <c r="AH9">
        <v>5.3333333333330235E-3</v>
      </c>
      <c r="AI9">
        <v>5.1333333333333231E-3</v>
      </c>
    </row>
    <row r="10" spans="1:35">
      <c r="A10" t="s">
        <v>16</v>
      </c>
      <c r="B10">
        <v>0.65100000000000002</v>
      </c>
      <c r="C10">
        <v>0.65500000000000003</v>
      </c>
      <c r="D10">
        <v>1.2000000000000011E-2</v>
      </c>
      <c r="E10">
        <v>6.1999999999999833E-3</v>
      </c>
      <c r="G10" t="s">
        <v>16</v>
      </c>
      <c r="H10">
        <v>6.1800000000000001E-2</v>
      </c>
      <c r="I10">
        <v>6.3E-2</v>
      </c>
      <c r="J10">
        <v>1.0199999999999931E-3</v>
      </c>
      <c r="M10" t="s">
        <v>16</v>
      </c>
      <c r="N10">
        <v>2.23</v>
      </c>
      <c r="O10">
        <v>1.5</v>
      </c>
      <c r="P10">
        <v>0.94</v>
      </c>
      <c r="S10" t="s">
        <v>16</v>
      </c>
      <c r="T10">
        <v>2.31</v>
      </c>
      <c r="U10">
        <v>2.41</v>
      </c>
      <c r="Y10" t="s">
        <v>16</v>
      </c>
      <c r="Z10">
        <v>0.2</v>
      </c>
      <c r="AE10" t="s">
        <v>16</v>
      </c>
      <c r="AF10">
        <v>0.40100000000000002</v>
      </c>
      <c r="AG10">
        <v>0.391666666666667</v>
      </c>
      <c r="AH10">
        <v>5.3333333333330235E-3</v>
      </c>
      <c r="AI10">
        <v>5.1333333333333231E-3</v>
      </c>
    </row>
    <row r="11" spans="1:35">
      <c r="A11" t="s">
        <v>17</v>
      </c>
      <c r="B11">
        <v>0.65300000000000002</v>
      </c>
      <c r="C11">
        <v>0.65500000000000003</v>
      </c>
      <c r="D11">
        <v>1.2000000000000011E-2</v>
      </c>
      <c r="E11">
        <v>6.1999999999999833E-3</v>
      </c>
      <c r="G11" t="s">
        <v>17</v>
      </c>
      <c r="H11">
        <v>6.2E-2</v>
      </c>
      <c r="I11">
        <v>6.3E-2</v>
      </c>
      <c r="J11">
        <v>1.0199999999999931E-3</v>
      </c>
      <c r="M11" t="s">
        <v>17</v>
      </c>
      <c r="N11">
        <v>2.13</v>
      </c>
      <c r="O11">
        <v>1.5</v>
      </c>
      <c r="P11">
        <v>0.94</v>
      </c>
      <c r="S11" t="s">
        <v>17</v>
      </c>
      <c r="T11">
        <v>2.33</v>
      </c>
      <c r="U11">
        <v>2.41</v>
      </c>
      <c r="Y11" t="s">
        <v>17</v>
      </c>
      <c r="Z11">
        <v>0.2</v>
      </c>
      <c r="AE11" t="s">
        <v>17</v>
      </c>
      <c r="AF11">
        <v>0.39800000000000002</v>
      </c>
      <c r="AG11">
        <v>0.391666666666667</v>
      </c>
      <c r="AH11">
        <v>5.3333333333330235E-3</v>
      </c>
      <c r="AI11">
        <v>5.1333333333333231E-3</v>
      </c>
    </row>
    <row r="12" spans="1:35">
      <c r="A12" t="s">
        <v>18</v>
      </c>
      <c r="B12">
        <v>0.65500000000000003</v>
      </c>
      <c r="C12">
        <v>0.65500000000000003</v>
      </c>
      <c r="D12">
        <v>1.2000000000000011E-2</v>
      </c>
      <c r="E12">
        <v>6.1999999999999833E-3</v>
      </c>
      <c r="G12" t="s">
        <v>18</v>
      </c>
      <c r="H12">
        <v>6.2199999999999998E-2</v>
      </c>
      <c r="I12">
        <v>6.3E-2</v>
      </c>
      <c r="J12">
        <v>1.0199999999999931E-3</v>
      </c>
      <c r="M12" t="s">
        <v>18</v>
      </c>
      <c r="N12">
        <v>2.0299999999999998</v>
      </c>
      <c r="O12">
        <v>1.5</v>
      </c>
      <c r="P12">
        <v>0.94</v>
      </c>
      <c r="S12" t="s">
        <v>18</v>
      </c>
      <c r="T12">
        <v>2.35</v>
      </c>
      <c r="U12">
        <v>2.41</v>
      </c>
      <c r="Y12" t="s">
        <v>18</v>
      </c>
      <c r="Z12">
        <v>0.2</v>
      </c>
      <c r="AE12" t="s">
        <v>18</v>
      </c>
      <c r="AF12">
        <v>0.397666666666667</v>
      </c>
      <c r="AG12">
        <v>0.391666666666667</v>
      </c>
      <c r="AH12">
        <v>5.3333333333330235E-3</v>
      </c>
      <c r="AI12">
        <v>5.1333333333333231E-3</v>
      </c>
    </row>
    <row r="13" spans="1:35">
      <c r="A13" t="s">
        <v>19</v>
      </c>
      <c r="B13">
        <v>0.65700000000000003</v>
      </c>
      <c r="C13">
        <v>0.65500000000000003</v>
      </c>
      <c r="D13">
        <v>1.2000000000000011E-2</v>
      </c>
      <c r="E13">
        <v>6.1999999999999833E-3</v>
      </c>
      <c r="G13" t="s">
        <v>19</v>
      </c>
      <c r="H13">
        <v>6.2399999999999997E-2</v>
      </c>
      <c r="I13">
        <v>6.3E-2</v>
      </c>
      <c r="J13">
        <v>1.0199999999999931E-3</v>
      </c>
      <c r="M13" t="s">
        <v>19</v>
      </c>
      <c r="N13">
        <v>1.93</v>
      </c>
      <c r="O13">
        <v>1.5</v>
      </c>
      <c r="P13">
        <v>0.94</v>
      </c>
      <c r="S13" t="s">
        <v>19</v>
      </c>
      <c r="T13">
        <v>2.37</v>
      </c>
      <c r="U13">
        <v>2.41</v>
      </c>
      <c r="Y13" t="s">
        <v>19</v>
      </c>
      <c r="Z13">
        <v>0.2</v>
      </c>
      <c r="AE13" t="s">
        <v>19</v>
      </c>
      <c r="AF13">
        <v>0.396666666666667</v>
      </c>
      <c r="AG13">
        <v>0.391666666666667</v>
      </c>
      <c r="AH13">
        <v>5.3333333333330235E-3</v>
      </c>
      <c r="AI13">
        <v>5.1333333333333231E-3</v>
      </c>
    </row>
    <row r="14" spans="1:35">
      <c r="A14" t="s">
        <v>20</v>
      </c>
      <c r="B14">
        <v>0.65900000000000003</v>
      </c>
      <c r="C14">
        <v>0.65500000000000003</v>
      </c>
      <c r="D14">
        <v>1.2000000000000011E-2</v>
      </c>
      <c r="E14">
        <v>6.1999999999999833E-3</v>
      </c>
      <c r="G14" t="s">
        <v>20</v>
      </c>
      <c r="H14">
        <v>6.2600000000000003E-2</v>
      </c>
      <c r="I14">
        <v>6.3E-2</v>
      </c>
      <c r="J14">
        <v>1.0199999999999931E-3</v>
      </c>
      <c r="M14" t="s">
        <v>20</v>
      </c>
      <c r="N14">
        <v>1.83</v>
      </c>
      <c r="O14">
        <v>1.5</v>
      </c>
      <c r="P14">
        <v>0.94</v>
      </c>
      <c r="S14" t="s">
        <v>20</v>
      </c>
      <c r="T14">
        <v>2.39</v>
      </c>
      <c r="U14">
        <v>2.41</v>
      </c>
      <c r="Y14" t="s">
        <v>20</v>
      </c>
      <c r="Z14">
        <v>0.2</v>
      </c>
      <c r="AE14" t="s">
        <v>20</v>
      </c>
      <c r="AF14">
        <v>0.395666666666667</v>
      </c>
      <c r="AG14">
        <v>0.391666666666667</v>
      </c>
      <c r="AH14">
        <v>5.3333333333330235E-3</v>
      </c>
      <c r="AI14">
        <v>5.1333333333333231E-3</v>
      </c>
    </row>
    <row r="15" spans="1:35">
      <c r="A15" t="s">
        <v>86</v>
      </c>
      <c r="B15">
        <v>0.66100000000000003</v>
      </c>
      <c r="C15">
        <v>0.65500000000000003</v>
      </c>
      <c r="D15">
        <v>1.2000000000000011E-2</v>
      </c>
      <c r="E15">
        <v>6.1999999999999833E-3</v>
      </c>
      <c r="G15" t="s">
        <v>86</v>
      </c>
      <c r="H15">
        <v>6.2799999999999995E-2</v>
      </c>
      <c r="I15">
        <v>6.3E-2</v>
      </c>
      <c r="J15">
        <v>1.0199999999999931E-3</v>
      </c>
      <c r="M15" t="s">
        <v>86</v>
      </c>
      <c r="N15">
        <v>1.73</v>
      </c>
      <c r="O15">
        <v>1.5</v>
      </c>
      <c r="P15">
        <v>0.94</v>
      </c>
      <c r="S15" t="s">
        <v>86</v>
      </c>
      <c r="T15">
        <v>2.41</v>
      </c>
      <c r="U15">
        <v>2.41</v>
      </c>
      <c r="Y15" t="s">
        <v>86</v>
      </c>
      <c r="Z15">
        <v>0.2</v>
      </c>
      <c r="AE15" t="s">
        <v>86</v>
      </c>
      <c r="AF15">
        <v>0.394666666666667</v>
      </c>
      <c r="AG15">
        <v>0.391666666666667</v>
      </c>
      <c r="AH15">
        <v>5.3333333333330235E-3</v>
      </c>
      <c r="AI15">
        <v>5.1333333333333231E-3</v>
      </c>
    </row>
    <row r="16" spans="1:35">
      <c r="A16" t="s">
        <v>87</v>
      </c>
      <c r="B16">
        <v>0.66300000000000003</v>
      </c>
      <c r="C16">
        <v>0.65500000000000003</v>
      </c>
      <c r="D16">
        <v>1.2000000000000011E-2</v>
      </c>
      <c r="E16">
        <v>6.1999999999999833E-3</v>
      </c>
      <c r="G16" t="s">
        <v>87</v>
      </c>
      <c r="H16">
        <v>6.3E-2</v>
      </c>
      <c r="I16">
        <v>6.3E-2</v>
      </c>
      <c r="J16">
        <v>1.0199999999999931E-3</v>
      </c>
      <c r="M16" t="s">
        <v>87</v>
      </c>
      <c r="N16">
        <v>1.63</v>
      </c>
      <c r="O16">
        <v>1.5</v>
      </c>
      <c r="P16">
        <v>0.94</v>
      </c>
      <c r="S16" t="s">
        <v>87</v>
      </c>
      <c r="T16">
        <v>2.4300000000000002</v>
      </c>
      <c r="U16">
        <v>2.41</v>
      </c>
      <c r="Y16" t="s">
        <v>87</v>
      </c>
      <c r="Z16">
        <v>0.2</v>
      </c>
      <c r="AE16" t="s">
        <v>87</v>
      </c>
      <c r="AF16">
        <v>0.393666666666667</v>
      </c>
      <c r="AG16">
        <v>0.391666666666667</v>
      </c>
      <c r="AH16">
        <v>5.3333333333330235E-3</v>
      </c>
      <c r="AI16">
        <v>5.1333333333333231E-3</v>
      </c>
    </row>
    <row r="17" spans="1:35">
      <c r="A17" t="s">
        <v>93</v>
      </c>
      <c r="B17">
        <v>0.66500000000000004</v>
      </c>
      <c r="C17">
        <v>0.65500000000000003</v>
      </c>
      <c r="D17">
        <v>1.2000000000000011E-2</v>
      </c>
      <c r="E17">
        <v>6.1999999999999833E-3</v>
      </c>
      <c r="G17" t="s">
        <v>93</v>
      </c>
      <c r="H17">
        <v>6.3200000000000006E-2</v>
      </c>
      <c r="I17">
        <v>6.3E-2</v>
      </c>
      <c r="J17">
        <v>1.0199999999999931E-3</v>
      </c>
      <c r="M17" t="s">
        <v>93</v>
      </c>
      <c r="N17">
        <v>1.53</v>
      </c>
      <c r="O17">
        <v>1.5</v>
      </c>
      <c r="P17">
        <v>0.94</v>
      </c>
      <c r="S17" t="s">
        <v>93</v>
      </c>
      <c r="T17">
        <v>2.4500000000000002</v>
      </c>
      <c r="U17">
        <v>2.41</v>
      </c>
      <c r="Y17" t="s">
        <v>93</v>
      </c>
      <c r="Z17">
        <v>0.2</v>
      </c>
      <c r="AE17" t="s">
        <v>93</v>
      </c>
      <c r="AF17">
        <v>0.392666666666667</v>
      </c>
      <c r="AG17">
        <v>0.391666666666667</v>
      </c>
      <c r="AH17">
        <v>5.3333333333330235E-3</v>
      </c>
      <c r="AI17">
        <v>5.1333333333333231E-3</v>
      </c>
    </row>
    <row r="18" spans="1:35">
      <c r="A18" t="s">
        <v>94</v>
      </c>
      <c r="B18">
        <v>0.66700000000000004</v>
      </c>
      <c r="C18">
        <v>0.65500000000000003</v>
      </c>
      <c r="D18">
        <v>1.2000000000000011E-2</v>
      </c>
      <c r="E18">
        <v>6.1999999999999833E-3</v>
      </c>
      <c r="G18" t="s">
        <v>94</v>
      </c>
      <c r="H18">
        <v>6.3399999999999998E-2</v>
      </c>
      <c r="I18">
        <v>6.3E-2</v>
      </c>
      <c r="J18">
        <v>1.0199999999999931E-3</v>
      </c>
      <c r="M18" t="s">
        <v>94</v>
      </c>
      <c r="N18">
        <v>1.43</v>
      </c>
      <c r="O18">
        <v>1.5</v>
      </c>
      <c r="P18">
        <v>0.94</v>
      </c>
      <c r="S18" t="s">
        <v>94</v>
      </c>
      <c r="T18">
        <v>2.4700000000000002</v>
      </c>
      <c r="U18">
        <v>2.41</v>
      </c>
      <c r="Y18" t="s">
        <v>94</v>
      </c>
      <c r="Z18">
        <v>0.2</v>
      </c>
      <c r="AE18" t="s">
        <v>94</v>
      </c>
      <c r="AF18">
        <v>0.391666666666667</v>
      </c>
      <c r="AG18">
        <v>0.391666666666667</v>
      </c>
      <c r="AH18">
        <v>5.3333333333330235E-3</v>
      </c>
      <c r="AI18">
        <v>5.1333333333333231E-3</v>
      </c>
    </row>
    <row r="19" spans="1:35">
      <c r="A19" t="s">
        <v>95</v>
      </c>
      <c r="B19">
        <v>0.66900000000000004</v>
      </c>
      <c r="C19">
        <v>0.65500000000000003</v>
      </c>
      <c r="D19">
        <v>1.2000000000000011E-2</v>
      </c>
      <c r="E19">
        <v>6.1999999999999833E-3</v>
      </c>
      <c r="G19" t="s">
        <v>95</v>
      </c>
      <c r="H19">
        <v>6.3600000000000004E-2</v>
      </c>
      <c r="I19">
        <v>6.3E-2</v>
      </c>
      <c r="J19">
        <v>1.0199999999999931E-3</v>
      </c>
      <c r="M19" t="s">
        <v>95</v>
      </c>
      <c r="N19">
        <v>1.33</v>
      </c>
      <c r="O19">
        <v>1.5</v>
      </c>
      <c r="P19">
        <v>0.94</v>
      </c>
      <c r="S19" t="s">
        <v>95</v>
      </c>
      <c r="T19">
        <v>2.4900000000000002</v>
      </c>
      <c r="U19">
        <v>2.41</v>
      </c>
      <c r="Y19" t="s">
        <v>95</v>
      </c>
      <c r="Z19">
        <v>0.2</v>
      </c>
      <c r="AE19" t="s">
        <v>95</v>
      </c>
      <c r="AF19">
        <v>0.390666666666667</v>
      </c>
      <c r="AG19">
        <v>0.391666666666667</v>
      </c>
      <c r="AH19">
        <v>5.3333333333330235E-3</v>
      </c>
      <c r="AI19">
        <v>5.1333333333333231E-3</v>
      </c>
    </row>
    <row r="20" spans="1:35">
      <c r="A20" t="s">
        <v>96</v>
      </c>
      <c r="B20">
        <v>0.67100000000000004</v>
      </c>
      <c r="C20">
        <v>0.65500000000000003</v>
      </c>
      <c r="D20">
        <v>1.2000000000000011E-2</v>
      </c>
      <c r="E20">
        <v>6.1999999999999833E-3</v>
      </c>
      <c r="G20" t="s">
        <v>96</v>
      </c>
      <c r="H20">
        <v>6.3799999999999996E-2</v>
      </c>
      <c r="I20">
        <v>6.3E-2</v>
      </c>
      <c r="J20">
        <v>1.0199999999999931E-3</v>
      </c>
      <c r="M20" t="s">
        <v>96</v>
      </c>
      <c r="N20">
        <v>1.23</v>
      </c>
      <c r="O20">
        <v>1.5</v>
      </c>
      <c r="P20">
        <v>0.94</v>
      </c>
      <c r="S20" t="s">
        <v>96</v>
      </c>
      <c r="T20">
        <v>2.5099999999999998</v>
      </c>
      <c r="U20">
        <v>2.41</v>
      </c>
      <c r="Y20" t="s">
        <v>96</v>
      </c>
      <c r="Z20">
        <v>0.2</v>
      </c>
      <c r="AE20" t="s">
        <v>96</v>
      </c>
      <c r="AF20">
        <v>0.38966666666666699</v>
      </c>
      <c r="AG20">
        <v>0.391666666666667</v>
      </c>
      <c r="AH20">
        <v>5.3333333333330235E-3</v>
      </c>
      <c r="AI20">
        <v>5.1333333333333231E-3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12A3-7BC8-4000-AAFB-E556A684D64E}">
  <sheetPr codeName="Sheet15">
    <tabColor rgb="FFFFFF00"/>
  </sheetPr>
  <dimension ref="A1:E13"/>
  <sheetViews>
    <sheetView zoomScale="85" zoomScaleNormal="85" workbookViewId="0">
      <selection sqref="A1:E14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0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J33"/>
  <sheetViews>
    <sheetView zoomScaleNormal="100" workbookViewId="0">
      <selection activeCell="P7" sqref="P7"/>
    </sheetView>
  </sheetViews>
  <sheetFormatPr defaultRowHeight="18.75"/>
  <sheetData>
    <row r="1" spans="1:10">
      <c r="A1" t="s">
        <v>121</v>
      </c>
    </row>
    <row r="4" spans="1:10">
      <c r="A4" t="s">
        <v>205</v>
      </c>
    </row>
    <row r="5" spans="1:10">
      <c r="B5" t="s">
        <v>123</v>
      </c>
    </row>
    <row r="6" spans="1:10">
      <c r="A6" t="s">
        <v>124</v>
      </c>
      <c r="B6" t="s">
        <v>294</v>
      </c>
      <c r="C6" t="s">
        <v>295</v>
      </c>
      <c r="D6" t="s">
        <v>296</v>
      </c>
      <c r="E6" t="s">
        <v>297</v>
      </c>
      <c r="F6" t="s">
        <v>298</v>
      </c>
      <c r="G6" t="s">
        <v>299</v>
      </c>
      <c r="H6" t="s">
        <v>300</v>
      </c>
      <c r="I6" t="s">
        <v>301</v>
      </c>
      <c r="J6" t="s">
        <v>302</v>
      </c>
    </row>
    <row r="7" spans="1:10">
      <c r="A7">
        <v>5200000000000</v>
      </c>
      <c r="B7">
        <v>0.64900000000000002</v>
      </c>
      <c r="F7">
        <v>0.65500000000000003</v>
      </c>
      <c r="G7">
        <v>0.66300000000000003</v>
      </c>
      <c r="J7">
        <v>0.66900000000000004</v>
      </c>
    </row>
    <row r="8" spans="1:10">
      <c r="A8">
        <v>5300000000000</v>
      </c>
      <c r="B8">
        <v>0.65100000000000002</v>
      </c>
      <c r="F8">
        <v>0.65700000000000003</v>
      </c>
      <c r="G8">
        <v>0.66500000000000004</v>
      </c>
    </row>
    <row r="9" spans="1:10">
      <c r="A9">
        <v>5400000000000</v>
      </c>
      <c r="B9">
        <v>0.65300000000000002</v>
      </c>
      <c r="F9">
        <v>0.66100000000000003</v>
      </c>
      <c r="G9">
        <v>0.66700000000000004</v>
      </c>
    </row>
    <row r="12" spans="1:10">
      <c r="A12" t="s">
        <v>206</v>
      </c>
    </row>
    <row r="13" spans="1:10">
      <c r="B13" t="s">
        <v>123</v>
      </c>
    </row>
    <row r="14" spans="1:10">
      <c r="A14" t="s">
        <v>124</v>
      </c>
      <c r="B14" t="s">
        <v>294</v>
      </c>
      <c r="C14" t="s">
        <v>295</v>
      </c>
      <c r="D14" t="s">
        <v>296</v>
      </c>
      <c r="E14" t="s">
        <v>297</v>
      </c>
      <c r="F14" t="s">
        <v>298</v>
      </c>
      <c r="G14" t="s">
        <v>299</v>
      </c>
      <c r="H14" t="s">
        <v>300</v>
      </c>
      <c r="I14" t="s">
        <v>301</v>
      </c>
      <c r="J14" t="s">
        <v>302</v>
      </c>
    </row>
    <row r="15" spans="1:10">
      <c r="A15">
        <v>5200000000000</v>
      </c>
      <c r="B15">
        <v>2.33</v>
      </c>
      <c r="F15">
        <v>2.0299999999999998</v>
      </c>
      <c r="G15">
        <v>1.63</v>
      </c>
      <c r="J15">
        <v>1.33</v>
      </c>
    </row>
    <row r="16" spans="1:10">
      <c r="A16">
        <v>5300000000000</v>
      </c>
      <c r="B16">
        <v>2.23</v>
      </c>
      <c r="F16">
        <v>1.93</v>
      </c>
      <c r="G16">
        <v>1.53</v>
      </c>
    </row>
    <row r="17" spans="1:10">
      <c r="A17">
        <v>5400000000000</v>
      </c>
      <c r="B17">
        <v>2.13</v>
      </c>
      <c r="F17">
        <v>1.73</v>
      </c>
      <c r="G17">
        <v>1.43</v>
      </c>
    </row>
    <row r="20" spans="1:10">
      <c r="A20" t="s">
        <v>207</v>
      </c>
    </row>
    <row r="21" spans="1:10">
      <c r="B21" t="s">
        <v>123</v>
      </c>
    </row>
    <row r="22" spans="1:10">
      <c r="A22" t="s">
        <v>124</v>
      </c>
      <c r="B22" t="s">
        <v>294</v>
      </c>
      <c r="C22" t="s">
        <v>295</v>
      </c>
      <c r="D22" t="s">
        <v>296</v>
      </c>
      <c r="E22" t="s">
        <v>297</v>
      </c>
      <c r="F22" t="s">
        <v>298</v>
      </c>
      <c r="G22" t="s">
        <v>299</v>
      </c>
      <c r="H22" t="s">
        <v>300</v>
      </c>
      <c r="I22" t="s">
        <v>301</v>
      </c>
      <c r="J22" t="s">
        <v>302</v>
      </c>
    </row>
    <row r="23" spans="1:10">
      <c r="A23">
        <v>5200000000000</v>
      </c>
      <c r="B23">
        <v>2.29</v>
      </c>
      <c r="F23">
        <v>2.35</v>
      </c>
      <c r="G23">
        <v>2.4300000000000002</v>
      </c>
      <c r="J23">
        <v>2.4900000000000002</v>
      </c>
    </row>
    <row r="24" spans="1:10">
      <c r="A24">
        <v>5300000000000</v>
      </c>
      <c r="B24">
        <v>2.31</v>
      </c>
      <c r="F24">
        <v>2.37</v>
      </c>
      <c r="G24">
        <v>2.4500000000000002</v>
      </c>
    </row>
    <row r="25" spans="1:10">
      <c r="A25">
        <v>5400000000000</v>
      </c>
      <c r="B25">
        <v>2.33</v>
      </c>
      <c r="F25">
        <v>2.41</v>
      </c>
      <c r="G25">
        <v>2.4700000000000002</v>
      </c>
    </row>
    <row r="28" spans="1:10">
      <c r="A28" t="s">
        <v>208</v>
      </c>
    </row>
    <row r="29" spans="1:10">
      <c r="B29" t="s">
        <v>123</v>
      </c>
    </row>
    <row r="30" spans="1:10">
      <c r="A30" t="s">
        <v>124</v>
      </c>
      <c r="B30" t="s">
        <v>294</v>
      </c>
      <c r="C30" t="s">
        <v>295</v>
      </c>
      <c r="D30" t="s">
        <v>296</v>
      </c>
      <c r="E30" t="s">
        <v>297</v>
      </c>
      <c r="F30" t="s">
        <v>298</v>
      </c>
      <c r="G30" t="s">
        <v>299</v>
      </c>
      <c r="H30" t="s">
        <v>300</v>
      </c>
      <c r="I30" t="s">
        <v>301</v>
      </c>
      <c r="J30" t="s">
        <v>302</v>
      </c>
    </row>
    <row r="31" spans="1:10">
      <c r="A31">
        <v>5200000000000</v>
      </c>
      <c r="B31">
        <v>0.4</v>
      </c>
      <c r="F31">
        <v>0.397666666666667</v>
      </c>
      <c r="G31">
        <v>0.393666666666667</v>
      </c>
      <c r="J31">
        <v>0.390666666666667</v>
      </c>
    </row>
    <row r="32" spans="1:10">
      <c r="A32">
        <v>5300000000000</v>
      </c>
      <c r="B32">
        <v>0.40100000000000002</v>
      </c>
      <c r="F32">
        <v>0.396666666666667</v>
      </c>
      <c r="G32">
        <v>0.392666666666667</v>
      </c>
    </row>
    <row r="33" spans="1:7">
      <c r="A33">
        <v>5400000000000</v>
      </c>
      <c r="B33">
        <v>0.39800000000000002</v>
      </c>
      <c r="F33">
        <v>0.394666666666667</v>
      </c>
      <c r="G33">
        <v>0.391666666666667</v>
      </c>
    </row>
  </sheetData>
  <sortState xmlns:xlrd2="http://schemas.microsoft.com/office/spreadsheetml/2017/richdata2" ref="A31:J33">
    <sortCondition ref="A30"/>
  </sortState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C39-A0B2-4977-BEF0-B26521343857}">
  <sheetPr codeName="Sheet9"/>
  <dimension ref="A1:E30"/>
  <sheetViews>
    <sheetView workbookViewId="0">
      <selection activeCell="N22" sqref="N22"/>
    </sheetView>
  </sheetViews>
  <sheetFormatPr defaultRowHeight="18.75"/>
  <cols>
    <col min="1" max="16384" width="9" style="13"/>
  </cols>
  <sheetData>
    <row r="1" spans="1:5">
      <c r="A1" s="13" t="s">
        <v>216</v>
      </c>
    </row>
    <row r="2" spans="1:5">
      <c r="A2" s="13" t="s">
        <v>142</v>
      </c>
    </row>
    <row r="3" spans="1:5">
      <c r="A3" s="13" t="s">
        <v>143</v>
      </c>
    </row>
    <row r="4" spans="1:5">
      <c r="A4" s="13" t="s">
        <v>217</v>
      </c>
    </row>
    <row r="6" spans="1:5">
      <c r="B6" s="5" t="s">
        <v>21</v>
      </c>
      <c r="C6" s="5" t="s">
        <v>27</v>
      </c>
      <c r="D6" s="5" t="s">
        <v>82</v>
      </c>
      <c r="E6" s="5" t="s">
        <v>28</v>
      </c>
    </row>
    <row r="7" spans="1:5">
      <c r="B7" t="s">
        <v>69</v>
      </c>
      <c r="C7" t="s">
        <v>30</v>
      </c>
      <c r="D7" t="s">
        <v>29</v>
      </c>
      <c r="E7" t="s">
        <v>33</v>
      </c>
    </row>
    <row r="8" spans="1:5">
      <c r="A8" s="13" t="s">
        <v>115</v>
      </c>
      <c r="B8" t="s">
        <v>71</v>
      </c>
      <c r="C8" t="s">
        <v>35</v>
      </c>
      <c r="D8" t="s">
        <v>36</v>
      </c>
      <c r="E8" t="s">
        <v>34</v>
      </c>
    </row>
    <row r="9" spans="1:5">
      <c r="B9" t="s">
        <v>73</v>
      </c>
      <c r="C9" t="s">
        <v>35</v>
      </c>
      <c r="D9" t="s">
        <v>37</v>
      </c>
      <c r="E9" t="s">
        <v>34</v>
      </c>
    </row>
    <row r="10" spans="1:5">
      <c r="A10" s="13" t="s">
        <v>115</v>
      </c>
      <c r="B10" t="s">
        <v>7</v>
      </c>
      <c r="C10" t="s">
        <v>35</v>
      </c>
      <c r="D10" t="s">
        <v>38</v>
      </c>
      <c r="E10" t="s">
        <v>79</v>
      </c>
    </row>
    <row r="11" spans="1:5">
      <c r="B11" t="s">
        <v>31</v>
      </c>
      <c r="C11" t="s">
        <v>35</v>
      </c>
      <c r="D11" t="s">
        <v>39</v>
      </c>
      <c r="E11" t="s">
        <v>80</v>
      </c>
    </row>
    <row r="12" spans="1:5">
      <c r="B12" t="s">
        <v>32</v>
      </c>
      <c r="C12" t="s">
        <v>35</v>
      </c>
      <c r="D12" t="s">
        <v>40</v>
      </c>
      <c r="E12" t="s">
        <v>81</v>
      </c>
    </row>
    <row r="13" spans="1:5">
      <c r="A13" s="13" t="s">
        <v>115</v>
      </c>
      <c r="B13" s="20" t="s">
        <v>5</v>
      </c>
      <c r="C13" t="s">
        <v>30</v>
      </c>
      <c r="D13" t="s">
        <v>41</v>
      </c>
      <c r="E13" t="s">
        <v>33</v>
      </c>
    </row>
    <row r="14" spans="1:5">
      <c r="B14" t="s">
        <v>76</v>
      </c>
      <c r="C14" t="s">
        <v>24</v>
      </c>
      <c r="D14" t="s">
        <v>42</v>
      </c>
      <c r="E14" t="s">
        <v>33</v>
      </c>
    </row>
    <row r="15" spans="1:5">
      <c r="B15" t="s">
        <v>77</v>
      </c>
      <c r="C15" t="s">
        <v>35</v>
      </c>
      <c r="D15" t="s">
        <v>78</v>
      </c>
      <c r="E15" t="s">
        <v>33</v>
      </c>
    </row>
    <row r="16" spans="1:5">
      <c r="B16" t="s">
        <v>75</v>
      </c>
      <c r="C16" t="s">
        <v>119</v>
      </c>
      <c r="D16" t="s">
        <v>29</v>
      </c>
      <c r="E16" t="s">
        <v>119</v>
      </c>
    </row>
    <row r="17" spans="1:5">
      <c r="A17" s="13" t="s">
        <v>115</v>
      </c>
      <c r="B17" t="s">
        <v>83</v>
      </c>
      <c r="C17" t="s">
        <v>119</v>
      </c>
      <c r="D17" t="s">
        <v>29</v>
      </c>
      <c r="E17" t="s">
        <v>119</v>
      </c>
    </row>
    <row r="18" spans="1:5">
      <c r="A18" s="13" t="s">
        <v>306</v>
      </c>
      <c r="B18" t="s">
        <v>76</v>
      </c>
      <c r="C18" t="s">
        <v>237</v>
      </c>
      <c r="D18" t="s">
        <v>92</v>
      </c>
      <c r="E18" t="s">
        <v>250</v>
      </c>
    </row>
    <row r="19" spans="1:5">
      <c r="A19" s="13" t="s">
        <v>306</v>
      </c>
      <c r="B19" t="s">
        <v>225</v>
      </c>
      <c r="C19" t="s">
        <v>238</v>
      </c>
      <c r="D19" t="s">
        <v>37</v>
      </c>
      <c r="E19" t="s">
        <v>250</v>
      </c>
    </row>
    <row r="20" spans="1:5">
      <c r="A20" s="13" t="s">
        <v>306</v>
      </c>
      <c r="B20" t="s">
        <v>226</v>
      </c>
      <c r="C20" t="s">
        <v>239</v>
      </c>
      <c r="D20" t="s">
        <v>38</v>
      </c>
      <c r="E20" t="s">
        <v>250</v>
      </c>
    </row>
    <row r="21" spans="1:5">
      <c r="A21" s="13" t="s">
        <v>306</v>
      </c>
      <c r="B21" t="s">
        <v>227</v>
      </c>
      <c r="C21" t="s">
        <v>240</v>
      </c>
      <c r="D21" t="s">
        <v>39</v>
      </c>
      <c r="E21" t="s">
        <v>250</v>
      </c>
    </row>
    <row r="22" spans="1:5">
      <c r="A22" s="13" t="s">
        <v>306</v>
      </c>
      <c r="B22" t="s">
        <v>228</v>
      </c>
      <c r="C22" t="s">
        <v>241</v>
      </c>
      <c r="D22" t="s">
        <v>40</v>
      </c>
      <c r="E22" t="s">
        <v>250</v>
      </c>
    </row>
    <row r="23" spans="1:5">
      <c r="A23" s="13" t="s">
        <v>306</v>
      </c>
      <c r="B23" t="s">
        <v>229</v>
      </c>
      <c r="C23" t="s">
        <v>242</v>
      </c>
      <c r="D23" t="s">
        <v>41</v>
      </c>
      <c r="E23" t="s">
        <v>250</v>
      </c>
    </row>
    <row r="24" spans="1:5">
      <c r="A24" s="13" t="s">
        <v>306</v>
      </c>
      <c r="B24" t="s">
        <v>230</v>
      </c>
      <c r="C24" t="s">
        <v>243</v>
      </c>
      <c r="D24" t="s">
        <v>220</v>
      </c>
      <c r="E24" t="s">
        <v>250</v>
      </c>
    </row>
    <row r="25" spans="1:5">
      <c r="A25" s="13" t="s">
        <v>306</v>
      </c>
      <c r="B25" t="s">
        <v>231</v>
      </c>
      <c r="C25" t="s">
        <v>244</v>
      </c>
      <c r="D25" t="s">
        <v>221</v>
      </c>
      <c r="E25" t="s">
        <v>250</v>
      </c>
    </row>
    <row r="26" spans="1:5">
      <c r="A26" s="13" t="s">
        <v>306</v>
      </c>
      <c r="B26" t="s">
        <v>232</v>
      </c>
      <c r="C26" t="s">
        <v>245</v>
      </c>
      <c r="D26" t="s">
        <v>42</v>
      </c>
      <c r="E26" t="s">
        <v>250</v>
      </c>
    </row>
    <row r="27" spans="1:5">
      <c r="A27" s="13" t="s">
        <v>306</v>
      </c>
      <c r="B27" t="s">
        <v>233</v>
      </c>
      <c r="C27" t="s">
        <v>246</v>
      </c>
      <c r="D27" t="s">
        <v>78</v>
      </c>
      <c r="E27" t="s">
        <v>250</v>
      </c>
    </row>
    <row r="28" spans="1:5">
      <c r="A28" s="13" t="s">
        <v>306</v>
      </c>
      <c r="B28" t="s">
        <v>234</v>
      </c>
      <c r="C28" t="s">
        <v>247</v>
      </c>
      <c r="D28" t="s">
        <v>222</v>
      </c>
      <c r="E28" t="s">
        <v>250</v>
      </c>
    </row>
    <row r="29" spans="1:5">
      <c r="A29" s="13" t="s">
        <v>306</v>
      </c>
      <c r="B29" t="s">
        <v>235</v>
      </c>
      <c r="C29" t="s">
        <v>248</v>
      </c>
      <c r="D29" t="s">
        <v>223</v>
      </c>
      <c r="E29" t="s">
        <v>250</v>
      </c>
    </row>
    <row r="30" spans="1:5">
      <c r="A30" s="13" t="s">
        <v>306</v>
      </c>
      <c r="B30" t="s">
        <v>236</v>
      </c>
      <c r="C30" t="s">
        <v>249</v>
      </c>
      <c r="D30" t="s">
        <v>224</v>
      </c>
      <c r="E30" t="s">
        <v>250</v>
      </c>
    </row>
  </sheetData>
  <phoneticPr fontId="1"/>
  <dataValidations count="1">
    <dataValidation type="list" allowBlank="1" showInputMessage="1" showErrorMessage="1" sqref="A6:A30" xr:uid="{5FF161D3-4C9A-40E0-BE51-3AE37B6AEB8F}">
      <formula1>"　,レ"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zoomScaleNormal="100" workbookViewId="0">
      <selection activeCell="C13" sqref="C13"/>
    </sheetView>
  </sheetViews>
  <sheetFormatPr defaultRowHeight="18.75"/>
  <sheetData>
    <row r="1" spans="1:5">
      <c r="A1" t="s">
        <v>121</v>
      </c>
    </row>
    <row r="4" spans="1:5">
      <c r="A4" t="s">
        <v>122</v>
      </c>
    </row>
    <row r="5" spans="1:5">
      <c r="B5" t="s">
        <v>123</v>
      </c>
    </row>
    <row r="6" spans="1:5">
      <c r="A6" t="s">
        <v>124</v>
      </c>
      <c r="B6" t="s">
        <v>131</v>
      </c>
      <c r="C6" t="s">
        <v>132</v>
      </c>
      <c r="D6" t="s">
        <v>133</v>
      </c>
      <c r="E6" t="s">
        <v>134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125</v>
      </c>
    </row>
    <row r="13" spans="1:5">
      <c r="B13" t="s">
        <v>123</v>
      </c>
    </row>
    <row r="14" spans="1:5">
      <c r="A14" t="s">
        <v>124</v>
      </c>
      <c r="B14" t="s">
        <v>131</v>
      </c>
      <c r="C14" t="s">
        <v>132</v>
      </c>
      <c r="D14" t="s">
        <v>133</v>
      </c>
      <c r="E14" t="s">
        <v>134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126</v>
      </c>
    </row>
    <row r="21" spans="1:5">
      <c r="B21" t="s">
        <v>123</v>
      </c>
    </row>
    <row r="22" spans="1:5">
      <c r="A22" t="s">
        <v>124</v>
      </c>
      <c r="B22" t="s">
        <v>131</v>
      </c>
      <c r="C22" t="s">
        <v>132</v>
      </c>
      <c r="D22" t="s">
        <v>133</v>
      </c>
      <c r="E22" t="s">
        <v>134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127</v>
      </c>
    </row>
    <row r="29" spans="1:5">
      <c r="B29" t="s">
        <v>123</v>
      </c>
    </row>
    <row r="30" spans="1:5">
      <c r="A30" t="s">
        <v>124</v>
      </c>
      <c r="B30" t="s">
        <v>131</v>
      </c>
      <c r="C30" t="s">
        <v>132</v>
      </c>
      <c r="D30" t="s">
        <v>133</v>
      </c>
      <c r="E30" t="s">
        <v>134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H15" sqref="H15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57</v>
      </c>
      <c r="H1" t="s">
        <v>60</v>
      </c>
      <c r="L1" s="6" t="s">
        <v>56</v>
      </c>
      <c r="M1" s="6" t="s">
        <v>56</v>
      </c>
      <c r="N1" s="6" t="s">
        <v>56</v>
      </c>
    </row>
    <row r="2" spans="2:16">
      <c r="B2" t="s">
        <v>44</v>
      </c>
      <c r="C2" t="s">
        <v>46</v>
      </c>
      <c r="D2" t="s">
        <v>48</v>
      </c>
      <c r="E2" s="6" t="s">
        <v>49</v>
      </c>
      <c r="F2" s="6" t="s">
        <v>89</v>
      </c>
      <c r="K2" s="8" t="s">
        <v>49</v>
      </c>
      <c r="L2" s="8" t="s">
        <v>58</v>
      </c>
      <c r="M2" s="8" t="s">
        <v>59</v>
      </c>
      <c r="N2" s="8" t="s">
        <v>61</v>
      </c>
    </row>
    <row r="3" spans="2:16">
      <c r="B3" t="s">
        <v>51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62</v>
      </c>
      <c r="K3" s="10">
        <v>5290000000000</v>
      </c>
      <c r="L3" s="2"/>
      <c r="M3" s="10">
        <v>1</v>
      </c>
      <c r="N3" s="10"/>
    </row>
    <row r="4" spans="2:16">
      <c r="B4" t="s">
        <v>53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55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57</v>
      </c>
      <c r="J7" t="s">
        <v>62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43</v>
      </c>
      <c r="C8" t="s">
        <v>45</v>
      </c>
      <c r="D8" t="s">
        <v>47</v>
      </c>
      <c r="E8" s="6" t="s">
        <v>49</v>
      </c>
      <c r="F8" s="6" t="s">
        <v>89</v>
      </c>
      <c r="J8" t="s">
        <v>62</v>
      </c>
      <c r="K8" s="10">
        <v>5540000000000</v>
      </c>
      <c r="L8" s="2"/>
      <c r="M8" s="10"/>
      <c r="N8" s="10">
        <v>5</v>
      </c>
    </row>
    <row r="9" spans="2:16">
      <c r="B9" t="s">
        <v>50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52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54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88</v>
      </c>
    </row>
    <row r="12" spans="2:16">
      <c r="P12" t="s">
        <v>90</v>
      </c>
    </row>
    <row r="13" spans="2:16">
      <c r="B13" t="s">
        <v>57</v>
      </c>
      <c r="P13" s="14" t="s">
        <v>67</v>
      </c>
    </row>
    <row r="14" spans="2:16">
      <c r="B14" t="s">
        <v>43</v>
      </c>
      <c r="C14" t="s">
        <v>45</v>
      </c>
      <c r="D14" t="s">
        <v>47</v>
      </c>
      <c r="E14" s="6" t="s">
        <v>49</v>
      </c>
      <c r="F14" s="6" t="s">
        <v>89</v>
      </c>
      <c r="P14" s="14" t="s">
        <v>68</v>
      </c>
    </row>
    <row r="15" spans="2:16">
      <c r="B15" t="s">
        <v>50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70</v>
      </c>
    </row>
    <row r="16" spans="2:16">
      <c r="B16" t="s">
        <v>52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72</v>
      </c>
    </row>
    <row r="17" spans="2:16">
      <c r="B17" t="s">
        <v>54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74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>
      <selection sqref="A1:E13"/>
    </sheetView>
  </sheetViews>
  <sheetFormatPr defaultRowHeight="18.75"/>
  <sheetData>
    <row r="1" spans="1:16">
      <c r="A1" s="5" t="s">
        <v>21</v>
      </c>
      <c r="B1" t="s">
        <v>69</v>
      </c>
      <c r="C1" t="s">
        <v>7</v>
      </c>
      <c r="D1" s="20" t="s">
        <v>5</v>
      </c>
      <c r="E1" t="s">
        <v>83</v>
      </c>
      <c r="L1" s="27" t="s">
        <v>116</v>
      </c>
    </row>
    <row r="2" spans="1:16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101</v>
      </c>
    </row>
    <row r="4" spans="1:16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102</v>
      </c>
    </row>
    <row r="5" spans="1:16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63</v>
      </c>
      <c r="M5" t="s">
        <v>97</v>
      </c>
      <c r="N5" t="s">
        <v>98</v>
      </c>
      <c r="O5" t="s">
        <v>99</v>
      </c>
      <c r="P5" t="s">
        <v>100</v>
      </c>
    </row>
    <row r="6" spans="1:16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13"/>
  <sheetViews>
    <sheetView workbookViewId="0">
      <selection sqref="A1:I13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262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263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264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265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266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267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268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269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270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271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272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273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38CFD-C901-4C2B-B0DF-05D15B8FD5F1}">
  <sheetPr codeName="Sheet7"/>
  <dimension ref="A1:G16"/>
  <sheetViews>
    <sheetView workbookViewId="0">
      <selection activeCell="A5" sqref="A5:XFD5"/>
    </sheetView>
  </sheetViews>
  <sheetFormatPr defaultRowHeight="18.75"/>
  <sheetData>
    <row r="1" spans="1:7">
      <c r="A1" t="s">
        <v>209</v>
      </c>
      <c r="B1" t="s">
        <v>24</v>
      </c>
      <c r="C1" t="s">
        <v>118</v>
      </c>
      <c r="D1" t="s">
        <v>118</v>
      </c>
      <c r="E1" t="s">
        <v>24</v>
      </c>
      <c r="F1" t="s">
        <v>24</v>
      </c>
      <c r="G1" t="s">
        <v>119</v>
      </c>
    </row>
    <row r="2" spans="1:7">
      <c r="A2" t="s">
        <v>210</v>
      </c>
      <c r="B2" t="s">
        <v>311</v>
      </c>
      <c r="C2" t="s">
        <v>36</v>
      </c>
      <c r="D2" t="s">
        <v>38</v>
      </c>
      <c r="E2" t="s">
        <v>41</v>
      </c>
      <c r="F2" t="s">
        <v>42</v>
      </c>
      <c r="G2" t="s">
        <v>36</v>
      </c>
    </row>
    <row r="3" spans="1:7">
      <c r="A3" t="s">
        <v>212</v>
      </c>
      <c r="B3" t="s">
        <v>213</v>
      </c>
      <c r="C3" t="s">
        <v>214</v>
      </c>
      <c r="D3" t="s">
        <v>215</v>
      </c>
      <c r="E3" t="s">
        <v>213</v>
      </c>
      <c r="F3" t="s">
        <v>213</v>
      </c>
      <c r="G3" t="s">
        <v>119</v>
      </c>
    </row>
    <row r="4" spans="1:7">
      <c r="A4" t="s">
        <v>211</v>
      </c>
      <c r="B4" t="s">
        <v>68</v>
      </c>
      <c r="C4" t="s">
        <v>70</v>
      </c>
      <c r="D4" t="s">
        <v>74</v>
      </c>
      <c r="E4" t="s">
        <v>84</v>
      </c>
      <c r="F4" t="s">
        <v>312</v>
      </c>
      <c r="G4" t="s">
        <v>85</v>
      </c>
    </row>
    <row r="5" spans="1:7">
      <c r="A5" t="s">
        <v>15</v>
      </c>
      <c r="B5">
        <v>0.64900000000000002</v>
      </c>
      <c r="C5">
        <v>6.1600000000000002E-2</v>
      </c>
      <c r="D5">
        <v>2.33</v>
      </c>
      <c r="E5">
        <v>2.29</v>
      </c>
      <c r="F5">
        <v>0.2</v>
      </c>
      <c r="G5">
        <v>0.4</v>
      </c>
    </row>
    <row r="6" spans="1:7">
      <c r="A6" t="s">
        <v>16</v>
      </c>
      <c r="B6">
        <v>0.65100000000000002</v>
      </c>
      <c r="C6">
        <v>6.1800000000000001E-2</v>
      </c>
      <c r="D6">
        <v>2.23</v>
      </c>
      <c r="E6">
        <v>2.31</v>
      </c>
      <c r="F6">
        <v>0.2</v>
      </c>
      <c r="G6">
        <v>0.40100000000000002</v>
      </c>
    </row>
    <row r="7" spans="1:7">
      <c r="A7" t="s">
        <v>17</v>
      </c>
      <c r="B7">
        <v>0.65300000000000002</v>
      </c>
      <c r="C7">
        <v>6.2E-2</v>
      </c>
      <c r="D7">
        <v>2.13</v>
      </c>
      <c r="E7">
        <v>2.33</v>
      </c>
      <c r="F7">
        <v>0.2</v>
      </c>
      <c r="G7">
        <v>0.39800000000000002</v>
      </c>
    </row>
    <row r="8" spans="1:7">
      <c r="A8" t="s">
        <v>18</v>
      </c>
      <c r="B8">
        <v>0.65500000000000003</v>
      </c>
      <c r="C8">
        <v>6.2199999999999998E-2</v>
      </c>
      <c r="D8">
        <v>2.0299999999999998</v>
      </c>
      <c r="E8">
        <v>2.35</v>
      </c>
      <c r="F8">
        <v>0.2</v>
      </c>
      <c r="G8">
        <v>0.397666666666667</v>
      </c>
    </row>
    <row r="9" spans="1:7">
      <c r="A9" t="s">
        <v>19</v>
      </c>
      <c r="B9">
        <v>0.65700000000000003</v>
      </c>
      <c r="C9">
        <v>6.2399999999999997E-2</v>
      </c>
      <c r="D9">
        <v>1.93</v>
      </c>
      <c r="E9">
        <v>2.37</v>
      </c>
      <c r="F9">
        <v>0.2</v>
      </c>
      <c r="G9">
        <v>0.396666666666667</v>
      </c>
    </row>
    <row r="10" spans="1:7">
      <c r="A10" t="s">
        <v>20</v>
      </c>
      <c r="B10">
        <v>0.65900000000000003</v>
      </c>
      <c r="C10">
        <v>6.2600000000000003E-2</v>
      </c>
      <c r="D10">
        <v>1.83</v>
      </c>
      <c r="E10">
        <v>2.39</v>
      </c>
      <c r="F10">
        <v>0.2</v>
      </c>
      <c r="G10">
        <v>0.395666666666667</v>
      </c>
    </row>
    <row r="11" spans="1:7">
      <c r="A11" t="s">
        <v>86</v>
      </c>
      <c r="B11">
        <v>0.66100000000000003</v>
      </c>
      <c r="C11">
        <v>6.2799999999999995E-2</v>
      </c>
      <c r="D11">
        <v>1.73</v>
      </c>
      <c r="E11">
        <v>2.41</v>
      </c>
      <c r="F11">
        <v>0.2</v>
      </c>
      <c r="G11">
        <v>0.394666666666667</v>
      </c>
    </row>
    <row r="12" spans="1:7">
      <c r="A12" t="s">
        <v>87</v>
      </c>
      <c r="B12">
        <v>0.66300000000000003</v>
      </c>
      <c r="C12">
        <v>6.3E-2</v>
      </c>
      <c r="D12">
        <v>1.63</v>
      </c>
      <c r="E12">
        <v>2.4300000000000002</v>
      </c>
      <c r="F12">
        <v>0.2</v>
      </c>
      <c r="G12">
        <v>0.393666666666667</v>
      </c>
    </row>
    <row r="13" spans="1:7">
      <c r="A13" t="s">
        <v>93</v>
      </c>
      <c r="B13">
        <v>0.66500000000000004</v>
      </c>
      <c r="C13">
        <v>6.3200000000000006E-2</v>
      </c>
      <c r="D13">
        <v>1.53</v>
      </c>
      <c r="E13">
        <v>2.4500000000000002</v>
      </c>
      <c r="F13">
        <v>0.2</v>
      </c>
      <c r="G13">
        <v>0.392666666666667</v>
      </c>
    </row>
    <row r="14" spans="1:7">
      <c r="A14" t="s">
        <v>94</v>
      </c>
      <c r="B14">
        <v>0.66700000000000004</v>
      </c>
      <c r="C14">
        <v>6.3399999999999998E-2</v>
      </c>
      <c r="D14">
        <v>1.43</v>
      </c>
      <c r="E14">
        <v>2.4700000000000002</v>
      </c>
      <c r="F14">
        <v>0.2</v>
      </c>
      <c r="G14">
        <v>0.391666666666667</v>
      </c>
    </row>
    <row r="15" spans="1:7">
      <c r="A15" t="s">
        <v>95</v>
      </c>
      <c r="B15">
        <v>0.66900000000000004</v>
      </c>
      <c r="C15">
        <v>6.3600000000000004E-2</v>
      </c>
      <c r="D15">
        <v>1.33</v>
      </c>
      <c r="E15">
        <v>2.4900000000000002</v>
      </c>
      <c r="F15">
        <v>0.2</v>
      </c>
      <c r="G15">
        <v>0.390666666666667</v>
      </c>
    </row>
    <row r="16" spans="1:7">
      <c r="A16" t="s">
        <v>96</v>
      </c>
      <c r="B16">
        <v>0.67100000000000004</v>
      </c>
      <c r="C16">
        <v>6.3799999999999996E-2</v>
      </c>
      <c r="D16">
        <v>1.23</v>
      </c>
      <c r="E16">
        <v>2.5099999999999998</v>
      </c>
      <c r="F16">
        <v>0.2</v>
      </c>
      <c r="G16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O11"/>
  <sheetViews>
    <sheetView zoomScale="70" zoomScaleNormal="70" workbookViewId="0">
      <selection activeCell="E3" sqref="E3:J7"/>
    </sheetView>
  </sheetViews>
  <sheetFormatPr defaultRowHeight="18.75"/>
  <sheetData>
    <row r="1" spans="1:15">
      <c r="A1" t="s">
        <v>135</v>
      </c>
      <c r="D1" t="s">
        <v>120</v>
      </c>
      <c r="N1" t="s">
        <v>144</v>
      </c>
    </row>
    <row r="2" spans="1:15">
      <c r="A2" t="s">
        <v>113</v>
      </c>
    </row>
    <row r="3" spans="1:15">
      <c r="A3" t="s">
        <v>104</v>
      </c>
      <c r="D3" t="s">
        <v>113</v>
      </c>
      <c r="E3" t="s">
        <v>104</v>
      </c>
      <c r="F3" t="s">
        <v>106</v>
      </c>
      <c r="G3" t="s">
        <v>107</v>
      </c>
      <c r="H3" t="s">
        <v>108</v>
      </c>
      <c r="I3" t="s">
        <v>109</v>
      </c>
      <c r="N3" t="s">
        <v>84</v>
      </c>
      <c r="O3" t="s">
        <v>24</v>
      </c>
    </row>
    <row r="4" spans="1:15">
      <c r="A4" t="s">
        <v>106</v>
      </c>
      <c r="D4">
        <v>1100000000000</v>
      </c>
      <c r="E4">
        <v>200000000000</v>
      </c>
      <c r="F4">
        <v>5200000000000</v>
      </c>
      <c r="G4">
        <v>1</v>
      </c>
      <c r="H4">
        <v>311000000000</v>
      </c>
      <c r="I4">
        <v>-1.1000000000000001</v>
      </c>
      <c r="N4" t="s">
        <v>68</v>
      </c>
      <c r="O4" t="s">
        <v>24</v>
      </c>
    </row>
    <row r="5" spans="1:15">
      <c r="A5" t="s">
        <v>107</v>
      </c>
      <c r="D5">
        <v>1200000000000</v>
      </c>
      <c r="E5">
        <v>300000000000</v>
      </c>
      <c r="F5">
        <v>5300000000000</v>
      </c>
      <c r="G5">
        <v>2</v>
      </c>
      <c r="H5">
        <v>330000000000</v>
      </c>
      <c r="I5">
        <v>-1.2</v>
      </c>
      <c r="N5" t="s">
        <v>70</v>
      </c>
      <c r="O5" t="s">
        <v>24</v>
      </c>
    </row>
    <row r="6" spans="1:15">
      <c r="A6" t="s">
        <v>108</v>
      </c>
      <c r="D6">
        <v>1300000000000</v>
      </c>
      <c r="F6">
        <v>5400000000000</v>
      </c>
      <c r="G6">
        <v>3</v>
      </c>
      <c r="H6">
        <v>360000000000</v>
      </c>
      <c r="I6">
        <v>-1.3</v>
      </c>
      <c r="N6" t="s">
        <v>74</v>
      </c>
      <c r="O6" t="s">
        <v>118</v>
      </c>
    </row>
    <row r="7" spans="1:15">
      <c r="A7" t="s">
        <v>109</v>
      </c>
      <c r="D7">
        <v>1400000000000</v>
      </c>
      <c r="N7" t="s">
        <v>85</v>
      </c>
      <c r="O7" t="s">
        <v>119</v>
      </c>
    </row>
    <row r="10" spans="1:15">
      <c r="A10" t="s">
        <v>219</v>
      </c>
    </row>
    <row r="11" spans="1:15">
      <c r="A11">
        <v>3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AB34"/>
  <sheetViews>
    <sheetView zoomScale="70" zoomScaleNormal="70" workbookViewId="0">
      <selection activeCell="E1" sqref="E1:P16"/>
    </sheetView>
  </sheetViews>
  <sheetFormatPr defaultRowHeight="18.75"/>
  <sheetData>
    <row r="1" spans="1:19">
      <c r="B1" t="s">
        <v>194</v>
      </c>
      <c r="C1" t="s">
        <v>194</v>
      </c>
      <c r="D1" t="s">
        <v>193</v>
      </c>
      <c r="E1" s="5" t="s">
        <v>27</v>
      </c>
      <c r="F1" t="s">
        <v>197</v>
      </c>
      <c r="G1" t="s">
        <v>196</v>
      </c>
      <c r="H1" t="s">
        <v>195</v>
      </c>
      <c r="I1" t="s">
        <v>313</v>
      </c>
      <c r="L1" t="s">
        <v>314</v>
      </c>
    </row>
    <row r="2" spans="1:19">
      <c r="A2" s="2" t="s">
        <v>12</v>
      </c>
      <c r="B2" s="2" t="s">
        <v>103</v>
      </c>
      <c r="C2" s="2" t="s">
        <v>108</v>
      </c>
      <c r="D2" s="2" t="s">
        <v>106</v>
      </c>
      <c r="E2" s="5" t="s">
        <v>82</v>
      </c>
      <c r="F2" t="s">
        <v>29</v>
      </c>
      <c r="G2" t="s">
        <v>38</v>
      </c>
      <c r="H2" t="s">
        <v>41</v>
      </c>
      <c r="I2" t="s">
        <v>92</v>
      </c>
    </row>
    <row r="3" spans="1:19">
      <c r="A3" s="2" t="s">
        <v>191</v>
      </c>
      <c r="B3" s="38" t="s">
        <v>114</v>
      </c>
      <c r="C3" s="38" t="s">
        <v>114</v>
      </c>
      <c r="D3" s="38" t="s">
        <v>114</v>
      </c>
      <c r="E3" s="5" t="s">
        <v>21</v>
      </c>
      <c r="F3" t="s">
        <v>69</v>
      </c>
      <c r="G3" t="s">
        <v>7</v>
      </c>
      <c r="H3" s="20" t="s">
        <v>5</v>
      </c>
      <c r="I3" t="s">
        <v>83</v>
      </c>
      <c r="L3" t="s">
        <v>198</v>
      </c>
      <c r="M3" t="s">
        <v>194</v>
      </c>
      <c r="N3" t="s">
        <v>194</v>
      </c>
      <c r="O3" t="s">
        <v>193</v>
      </c>
      <c r="P3" t="s">
        <v>199</v>
      </c>
      <c r="Q3" t="s">
        <v>200</v>
      </c>
      <c r="R3" t="s">
        <v>201</v>
      </c>
      <c r="S3" t="s">
        <v>202</v>
      </c>
    </row>
    <row r="4" spans="1:19">
      <c r="A4" s="2" t="s">
        <v>192</v>
      </c>
      <c r="B4" s="38" t="s">
        <v>114</v>
      </c>
      <c r="C4" s="38" t="s">
        <v>114</v>
      </c>
      <c r="D4" s="38" t="s">
        <v>114</v>
      </c>
      <c r="E4" s="5" t="s">
        <v>28</v>
      </c>
      <c r="F4" t="s">
        <v>33</v>
      </c>
      <c r="G4" t="s">
        <v>79</v>
      </c>
      <c r="H4" t="s">
        <v>33</v>
      </c>
      <c r="I4" t="s">
        <v>119</v>
      </c>
      <c r="L4" t="s">
        <v>203</v>
      </c>
      <c r="M4" t="s">
        <v>113</v>
      </c>
      <c r="N4" t="s">
        <v>108</v>
      </c>
      <c r="O4" t="s">
        <v>106</v>
      </c>
      <c r="P4" t="s">
        <v>68</v>
      </c>
      <c r="Q4" t="s">
        <v>74</v>
      </c>
      <c r="R4" t="s">
        <v>84</v>
      </c>
      <c r="S4" t="s">
        <v>85</v>
      </c>
    </row>
    <row r="5" spans="1:19">
      <c r="A5" s="2" t="s">
        <v>262</v>
      </c>
      <c r="B5" s="1">
        <v>1100000000000</v>
      </c>
      <c r="C5">
        <v>311000000000</v>
      </c>
      <c r="D5" s="1">
        <v>5200000000000</v>
      </c>
      <c r="E5" t="s">
        <v>15</v>
      </c>
      <c r="F5" s="1">
        <v>0.64900000000000002</v>
      </c>
      <c r="G5" s="1">
        <v>2.33</v>
      </c>
      <c r="H5" s="1">
        <v>2.29</v>
      </c>
      <c r="I5" s="1">
        <v>0.4</v>
      </c>
      <c r="L5" t="s">
        <v>15</v>
      </c>
      <c r="M5">
        <v>1100000000000</v>
      </c>
      <c r="N5">
        <v>311000000000</v>
      </c>
      <c r="O5">
        <v>5200000000000</v>
      </c>
      <c r="P5">
        <v>0.64900000000000002</v>
      </c>
      <c r="Q5">
        <v>2.33</v>
      </c>
      <c r="R5">
        <v>2.29</v>
      </c>
      <c r="S5">
        <v>0.4</v>
      </c>
    </row>
    <row r="6" spans="1:19">
      <c r="A6" s="2" t="s">
        <v>263</v>
      </c>
      <c r="B6" s="1">
        <v>1100000000000</v>
      </c>
      <c r="C6">
        <v>311000000000</v>
      </c>
      <c r="D6" s="21">
        <v>5300000000000</v>
      </c>
      <c r="E6" t="s">
        <v>16</v>
      </c>
      <c r="F6" s="1">
        <v>0.65100000000000002</v>
      </c>
      <c r="G6" s="1">
        <v>2.23</v>
      </c>
      <c r="H6" s="1">
        <v>2.31</v>
      </c>
      <c r="I6" s="1">
        <v>0.40100000000000002</v>
      </c>
      <c r="L6" t="s">
        <v>16</v>
      </c>
      <c r="M6">
        <v>1100000000000</v>
      </c>
      <c r="N6">
        <v>311000000000</v>
      </c>
      <c r="O6">
        <v>5300000000000</v>
      </c>
      <c r="P6">
        <v>0.65100000000000002</v>
      </c>
      <c r="Q6">
        <v>2.23</v>
      </c>
      <c r="R6">
        <v>2.31</v>
      </c>
      <c r="S6">
        <v>0.40100000000000002</v>
      </c>
    </row>
    <row r="7" spans="1:19">
      <c r="A7" s="2" t="s">
        <v>264</v>
      </c>
      <c r="B7" s="1">
        <v>1100000000000</v>
      </c>
      <c r="C7">
        <v>311000000000</v>
      </c>
      <c r="D7" s="26">
        <v>5400000000000</v>
      </c>
      <c r="E7" t="s">
        <v>17</v>
      </c>
      <c r="F7" s="1">
        <v>0.65300000000000002</v>
      </c>
      <c r="G7" s="1">
        <v>2.13</v>
      </c>
      <c r="H7" s="1">
        <v>2.33</v>
      </c>
      <c r="I7" s="1">
        <v>0.39800000000000002</v>
      </c>
      <c r="L7" t="s">
        <v>17</v>
      </c>
      <c r="M7">
        <v>1100000000000</v>
      </c>
      <c r="N7">
        <v>311000000000</v>
      </c>
      <c r="O7">
        <v>5400000000000</v>
      </c>
      <c r="P7">
        <v>0.65300000000000002</v>
      </c>
      <c r="Q7">
        <v>2.13</v>
      </c>
      <c r="R7">
        <v>2.33</v>
      </c>
      <c r="S7">
        <v>0.39800000000000002</v>
      </c>
    </row>
    <row r="8" spans="1:19">
      <c r="A8" s="2" t="s">
        <v>265</v>
      </c>
      <c r="B8" s="4">
        <v>1200000000000</v>
      </c>
      <c r="C8" s="23">
        <v>330000000000</v>
      </c>
      <c r="D8" s="1">
        <v>5200000000000</v>
      </c>
      <c r="E8" t="s">
        <v>18</v>
      </c>
      <c r="F8" s="1">
        <v>0.65500000000000003</v>
      </c>
      <c r="G8" s="1">
        <v>2.0299999999999998</v>
      </c>
      <c r="H8" s="1">
        <v>2.35</v>
      </c>
      <c r="I8" s="1">
        <v>0.397666666666667</v>
      </c>
      <c r="L8" t="s">
        <v>18</v>
      </c>
      <c r="M8">
        <v>1200000000000</v>
      </c>
      <c r="N8">
        <v>330000000000</v>
      </c>
      <c r="O8">
        <v>5200000000000</v>
      </c>
      <c r="P8">
        <v>0.65500000000000003</v>
      </c>
      <c r="Q8">
        <v>2.0299999999999998</v>
      </c>
      <c r="R8">
        <v>2.35</v>
      </c>
      <c r="S8">
        <v>0.397666666666667</v>
      </c>
    </row>
    <row r="9" spans="1:19">
      <c r="A9" s="2" t="s">
        <v>266</v>
      </c>
      <c r="B9" s="4">
        <v>1200000000000</v>
      </c>
      <c r="C9" s="23">
        <v>330000000000</v>
      </c>
      <c r="D9" s="21">
        <v>5300000000000</v>
      </c>
      <c r="E9" t="s">
        <v>19</v>
      </c>
      <c r="F9" s="1">
        <v>0.65700000000000003</v>
      </c>
      <c r="G9" s="1">
        <v>1.93</v>
      </c>
      <c r="H9" s="1">
        <v>2.37</v>
      </c>
      <c r="I9" s="1">
        <v>0.396666666666667</v>
      </c>
      <c r="L9" t="s">
        <v>19</v>
      </c>
      <c r="M9">
        <v>1200000000000</v>
      </c>
      <c r="N9">
        <v>330000000000</v>
      </c>
      <c r="O9">
        <v>5300000000000</v>
      </c>
      <c r="P9">
        <v>0.65700000000000003</v>
      </c>
      <c r="Q9">
        <v>1.93</v>
      </c>
      <c r="R9">
        <v>2.37</v>
      </c>
      <c r="S9">
        <v>0.396666666666667</v>
      </c>
    </row>
    <row r="10" spans="1:19">
      <c r="A10" s="2" t="s">
        <v>267</v>
      </c>
      <c r="B10" s="4">
        <v>1200000000000</v>
      </c>
      <c r="C10" s="23">
        <v>330000000000</v>
      </c>
      <c r="D10" s="26">
        <v>5400000000000</v>
      </c>
      <c r="E10" t="s">
        <v>20</v>
      </c>
      <c r="F10" s="1">
        <v>0.65900000000000003</v>
      </c>
      <c r="G10" s="1">
        <v>1.83</v>
      </c>
      <c r="H10" s="1">
        <v>2.39</v>
      </c>
      <c r="I10" s="1">
        <v>0.395666666666667</v>
      </c>
      <c r="L10" t="s">
        <v>20</v>
      </c>
      <c r="M10">
        <v>1200000000000</v>
      </c>
      <c r="N10">
        <v>330000000000</v>
      </c>
      <c r="O10">
        <v>5400000000000</v>
      </c>
      <c r="P10">
        <v>0.65900000000000003</v>
      </c>
      <c r="Q10">
        <v>1.83</v>
      </c>
      <c r="R10">
        <v>2.39</v>
      </c>
      <c r="S10">
        <v>0.395666666666667</v>
      </c>
    </row>
    <row r="11" spans="1:19">
      <c r="A11" s="2" t="s">
        <v>268</v>
      </c>
      <c r="B11" s="4">
        <v>1200000000000</v>
      </c>
      <c r="C11" s="23">
        <v>330000000000</v>
      </c>
      <c r="D11" s="22">
        <v>5400000000000</v>
      </c>
      <c r="E11" t="s">
        <v>86</v>
      </c>
      <c r="F11" s="1">
        <v>0.66100000000000003</v>
      </c>
      <c r="G11" s="1">
        <v>1.73</v>
      </c>
      <c r="H11" s="1">
        <v>2.41</v>
      </c>
      <c r="I11" s="1">
        <v>0.394666666666667</v>
      </c>
      <c r="L11" t="s">
        <v>86</v>
      </c>
      <c r="M11">
        <v>1200000000000</v>
      </c>
      <c r="N11">
        <v>330000000000</v>
      </c>
      <c r="O11">
        <v>5400000000000</v>
      </c>
      <c r="P11">
        <v>0.66100000000000003</v>
      </c>
      <c r="Q11">
        <v>1.73</v>
      </c>
      <c r="R11">
        <v>2.41</v>
      </c>
      <c r="S11">
        <v>0.394666666666667</v>
      </c>
    </row>
    <row r="12" spans="1:19">
      <c r="A12" s="2" t="s">
        <v>269</v>
      </c>
      <c r="B12" s="4">
        <v>1300000000000</v>
      </c>
      <c r="C12" s="23">
        <v>330000000000</v>
      </c>
      <c r="D12" s="1">
        <v>5200000000000</v>
      </c>
      <c r="E12" t="s">
        <v>87</v>
      </c>
      <c r="F12" s="1">
        <v>0.66300000000000003</v>
      </c>
      <c r="G12" s="1">
        <v>1.63</v>
      </c>
      <c r="H12" s="1">
        <v>2.4300000000000002</v>
      </c>
      <c r="I12" s="1">
        <v>0.393666666666667</v>
      </c>
      <c r="L12" t="s">
        <v>87</v>
      </c>
      <c r="M12">
        <v>1300000000000</v>
      </c>
      <c r="N12">
        <v>330000000000</v>
      </c>
      <c r="O12">
        <v>5200000000000</v>
      </c>
      <c r="P12">
        <v>0.66300000000000003</v>
      </c>
      <c r="Q12">
        <v>1.63</v>
      </c>
      <c r="R12">
        <v>2.4300000000000002</v>
      </c>
      <c r="S12">
        <v>0.393666666666667</v>
      </c>
    </row>
    <row r="13" spans="1:19">
      <c r="A13" s="2" t="s">
        <v>270</v>
      </c>
      <c r="B13" s="4">
        <v>1300000000000</v>
      </c>
      <c r="C13" s="23">
        <v>330000000000</v>
      </c>
      <c r="D13" s="21">
        <v>5300000000000</v>
      </c>
      <c r="E13" t="s">
        <v>93</v>
      </c>
      <c r="F13" s="1">
        <v>0.66500000000000004</v>
      </c>
      <c r="G13" s="1">
        <v>1.53</v>
      </c>
      <c r="H13" s="1">
        <v>2.4500000000000002</v>
      </c>
      <c r="I13" s="1">
        <v>0.392666666666667</v>
      </c>
      <c r="L13" t="s">
        <v>93</v>
      </c>
      <c r="M13">
        <v>1300000000000</v>
      </c>
      <c r="N13">
        <v>330000000000</v>
      </c>
      <c r="O13">
        <v>5300000000000</v>
      </c>
      <c r="P13">
        <v>0.66500000000000004</v>
      </c>
      <c r="Q13">
        <v>1.53</v>
      </c>
      <c r="R13">
        <v>2.4500000000000002</v>
      </c>
      <c r="S13">
        <v>0.392666666666667</v>
      </c>
    </row>
    <row r="14" spans="1:19">
      <c r="A14" s="2" t="s">
        <v>271</v>
      </c>
      <c r="B14" s="4">
        <v>1300000000000</v>
      </c>
      <c r="C14" s="23">
        <v>330000000000</v>
      </c>
      <c r="D14" s="26">
        <v>5400000000000</v>
      </c>
      <c r="E14" t="s">
        <v>94</v>
      </c>
      <c r="F14" s="1">
        <v>0.66700000000000004</v>
      </c>
      <c r="G14" s="1">
        <v>1.43</v>
      </c>
      <c r="H14" s="1">
        <v>2.4700000000000002</v>
      </c>
      <c r="I14" s="1">
        <v>0.391666666666667</v>
      </c>
      <c r="L14" t="s">
        <v>94</v>
      </c>
      <c r="M14">
        <v>1300000000000</v>
      </c>
      <c r="N14">
        <v>330000000000</v>
      </c>
      <c r="O14">
        <v>5400000000000</v>
      </c>
      <c r="P14">
        <v>0.66700000000000004</v>
      </c>
      <c r="Q14">
        <v>1.43</v>
      </c>
      <c r="R14">
        <v>2.4700000000000002</v>
      </c>
      <c r="S14">
        <v>0.391666666666667</v>
      </c>
    </row>
    <row r="15" spans="1:19">
      <c r="A15" s="2" t="s">
        <v>272</v>
      </c>
      <c r="B15" s="4">
        <v>1300000000000</v>
      </c>
      <c r="C15" s="25">
        <v>360000000000</v>
      </c>
      <c r="D15" s="1">
        <v>5200000000000</v>
      </c>
      <c r="E15" t="s">
        <v>95</v>
      </c>
      <c r="F15" s="1">
        <v>0.66900000000000004</v>
      </c>
      <c r="G15" s="1">
        <v>1.33</v>
      </c>
      <c r="H15" s="1">
        <v>2.4900000000000002</v>
      </c>
      <c r="I15" s="1">
        <v>0.390666666666667</v>
      </c>
      <c r="L15" t="s">
        <v>95</v>
      </c>
      <c r="M15">
        <v>1300000000000</v>
      </c>
      <c r="N15">
        <v>360000000000</v>
      </c>
      <c r="O15">
        <v>5200000000000</v>
      </c>
      <c r="P15">
        <v>0.66900000000000004</v>
      </c>
      <c r="Q15">
        <v>1.33</v>
      </c>
      <c r="R15">
        <v>2.4900000000000002</v>
      </c>
      <c r="S15">
        <v>0.390666666666667</v>
      </c>
    </row>
    <row r="16" spans="1:19">
      <c r="A16" s="2" t="s">
        <v>273</v>
      </c>
      <c r="B16" s="4">
        <v>1400000000000</v>
      </c>
      <c r="C16" s="25">
        <v>360000000000</v>
      </c>
      <c r="D16" s="21">
        <v>5300000000000</v>
      </c>
      <c r="E16" t="s">
        <v>96</v>
      </c>
      <c r="F16" s="1">
        <v>0.67100000000000004</v>
      </c>
      <c r="G16" s="1">
        <v>1.23</v>
      </c>
      <c r="H16" s="1">
        <v>2.5099999999999998</v>
      </c>
      <c r="I16" s="1">
        <v>0.38966666666666699</v>
      </c>
      <c r="L16" t="s">
        <v>96</v>
      </c>
      <c r="M16">
        <v>1400000000000</v>
      </c>
      <c r="N16">
        <v>360000000000</v>
      </c>
      <c r="O16">
        <v>5300000000000</v>
      </c>
      <c r="P16">
        <v>0.67100000000000004</v>
      </c>
      <c r="Q16">
        <v>1.23</v>
      </c>
      <c r="R16">
        <v>2.5099999999999998</v>
      </c>
      <c r="S16">
        <v>0.38966666666666699</v>
      </c>
    </row>
    <row r="21" spans="12:28">
      <c r="L21" t="s">
        <v>198</v>
      </c>
      <c r="M21" t="s">
        <v>194</v>
      </c>
      <c r="N21" t="s">
        <v>194</v>
      </c>
      <c r="O21" t="s">
        <v>193</v>
      </c>
      <c r="P21" t="s">
        <v>199</v>
      </c>
      <c r="Q21" t="s">
        <v>200</v>
      </c>
      <c r="R21" t="s">
        <v>201</v>
      </c>
      <c r="S21" t="s">
        <v>202</v>
      </c>
      <c r="T21" t="s">
        <v>204</v>
      </c>
      <c r="U21" t="s">
        <v>204</v>
      </c>
      <c r="V21" t="s">
        <v>204</v>
      </c>
      <c r="W21" t="s">
        <v>204</v>
      </c>
      <c r="X21" t="s">
        <v>204</v>
      </c>
      <c r="Y21" t="s">
        <v>204</v>
      </c>
      <c r="Z21" t="s">
        <v>204</v>
      </c>
      <c r="AA21" t="s">
        <v>204</v>
      </c>
      <c r="AB21" t="s">
        <v>204</v>
      </c>
    </row>
    <row r="22" spans="12:28">
      <c r="L22" t="s">
        <v>203</v>
      </c>
      <c r="M22" t="s">
        <v>113</v>
      </c>
      <c r="N22" t="s">
        <v>108</v>
      </c>
      <c r="O22" t="s">
        <v>106</v>
      </c>
      <c r="P22" t="s">
        <v>68</v>
      </c>
      <c r="Q22" t="s">
        <v>74</v>
      </c>
      <c r="R22" t="s">
        <v>84</v>
      </c>
      <c r="S22" t="s">
        <v>85</v>
      </c>
      <c r="T22" t="s">
        <v>294</v>
      </c>
      <c r="U22" t="s">
        <v>295</v>
      </c>
      <c r="V22" t="s">
        <v>296</v>
      </c>
      <c r="W22" t="s">
        <v>297</v>
      </c>
      <c r="X22" t="s">
        <v>298</v>
      </c>
      <c r="Y22" t="s">
        <v>299</v>
      </c>
      <c r="Z22" t="s">
        <v>300</v>
      </c>
      <c r="AA22" t="s">
        <v>301</v>
      </c>
      <c r="AB22" t="s">
        <v>302</v>
      </c>
    </row>
    <row r="23" spans="12:28">
      <c r="L23" t="s">
        <v>15</v>
      </c>
      <c r="M23">
        <v>1100000000000</v>
      </c>
      <c r="N23">
        <v>311000000000</v>
      </c>
      <c r="O23">
        <v>5200000000000</v>
      </c>
      <c r="P23">
        <v>0.64900000000000002</v>
      </c>
      <c r="Q23">
        <v>2.33</v>
      </c>
      <c r="R23">
        <v>2.29</v>
      </c>
      <c r="S23">
        <v>0.4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</row>
    <row r="24" spans="12:28">
      <c r="L24" t="s">
        <v>16</v>
      </c>
      <c r="M24">
        <v>1100000000000</v>
      </c>
      <c r="N24">
        <v>311000000000</v>
      </c>
      <c r="O24">
        <v>5300000000000</v>
      </c>
      <c r="P24">
        <v>0.65100000000000002</v>
      </c>
      <c r="Q24">
        <v>2.23</v>
      </c>
      <c r="R24">
        <v>2.31</v>
      </c>
      <c r="S24">
        <v>0.40100000000000002</v>
      </c>
      <c r="T24">
        <v>1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</row>
    <row r="25" spans="12:28">
      <c r="L25" t="s">
        <v>17</v>
      </c>
      <c r="M25">
        <v>1100000000000</v>
      </c>
      <c r="N25">
        <v>311000000000</v>
      </c>
      <c r="O25">
        <v>5400000000000</v>
      </c>
      <c r="P25">
        <v>0.65300000000000002</v>
      </c>
      <c r="Q25">
        <v>2.13</v>
      </c>
      <c r="R25">
        <v>2.33</v>
      </c>
      <c r="S25">
        <v>0.39800000000000002</v>
      </c>
      <c r="T25">
        <v>1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</row>
    <row r="26" spans="12:28">
      <c r="L26" t="s">
        <v>18</v>
      </c>
      <c r="M26">
        <v>1200000000000</v>
      </c>
      <c r="N26">
        <v>330000000000</v>
      </c>
      <c r="O26">
        <v>5200000000000</v>
      </c>
      <c r="P26">
        <v>0.65500000000000003</v>
      </c>
      <c r="Q26">
        <v>2.0299999999999998</v>
      </c>
      <c r="R26">
        <v>2.35</v>
      </c>
      <c r="S26">
        <v>0.397666666666667</v>
      </c>
      <c r="T26">
        <v>0</v>
      </c>
      <c r="U26">
        <v>0</v>
      </c>
      <c r="V26">
        <v>0</v>
      </c>
      <c r="W26">
        <v>0</v>
      </c>
      <c r="X26">
        <v>1</v>
      </c>
      <c r="Y26">
        <v>0</v>
      </c>
      <c r="Z26">
        <v>0</v>
      </c>
      <c r="AA26">
        <v>0</v>
      </c>
      <c r="AB26">
        <v>0</v>
      </c>
    </row>
    <row r="27" spans="12:28">
      <c r="L27" t="s">
        <v>19</v>
      </c>
      <c r="M27">
        <v>1200000000000</v>
      </c>
      <c r="N27">
        <v>330000000000</v>
      </c>
      <c r="O27">
        <v>5300000000000</v>
      </c>
      <c r="P27">
        <v>0.65700000000000003</v>
      </c>
      <c r="Q27">
        <v>1.93</v>
      </c>
      <c r="R27">
        <v>2.37</v>
      </c>
      <c r="S27">
        <v>0.396666666666667</v>
      </c>
      <c r="T27">
        <v>0</v>
      </c>
      <c r="U27">
        <v>0</v>
      </c>
      <c r="V27">
        <v>0</v>
      </c>
      <c r="W27">
        <v>0</v>
      </c>
      <c r="X27">
        <v>1</v>
      </c>
      <c r="Y27">
        <v>0</v>
      </c>
      <c r="Z27">
        <v>0</v>
      </c>
      <c r="AA27">
        <v>0</v>
      </c>
      <c r="AB27">
        <v>0</v>
      </c>
    </row>
    <row r="28" spans="12:28">
      <c r="L28" t="s">
        <v>20</v>
      </c>
      <c r="M28">
        <v>1200000000000</v>
      </c>
      <c r="N28">
        <v>330000000000</v>
      </c>
      <c r="O28">
        <v>5400000000000</v>
      </c>
      <c r="P28">
        <v>0.65900000000000003</v>
      </c>
      <c r="Q28">
        <v>1.83</v>
      </c>
      <c r="R28">
        <v>2.39</v>
      </c>
      <c r="S28">
        <v>0.395666666666667</v>
      </c>
      <c r="T28">
        <v>0</v>
      </c>
      <c r="U28">
        <v>0</v>
      </c>
      <c r="V28">
        <v>0</v>
      </c>
      <c r="W28">
        <v>0</v>
      </c>
      <c r="X28">
        <v>1</v>
      </c>
      <c r="Y28">
        <v>0</v>
      </c>
      <c r="Z28">
        <v>0</v>
      </c>
      <c r="AA28">
        <v>0</v>
      </c>
      <c r="AB28">
        <v>0</v>
      </c>
    </row>
    <row r="29" spans="12:28">
      <c r="L29" t="s">
        <v>86</v>
      </c>
      <c r="M29">
        <v>1200000000000</v>
      </c>
      <c r="N29">
        <v>330000000000</v>
      </c>
      <c r="O29">
        <v>5400000000000</v>
      </c>
      <c r="P29">
        <v>0.66100000000000003</v>
      </c>
      <c r="Q29">
        <v>1.73</v>
      </c>
      <c r="R29">
        <v>2.41</v>
      </c>
      <c r="S29">
        <v>0.394666666666667</v>
      </c>
      <c r="T29">
        <v>0</v>
      </c>
      <c r="U29">
        <v>0</v>
      </c>
      <c r="V29">
        <v>0</v>
      </c>
      <c r="W29">
        <v>0</v>
      </c>
      <c r="X29">
        <v>1</v>
      </c>
      <c r="Y29">
        <v>0</v>
      </c>
      <c r="Z29">
        <v>0</v>
      </c>
      <c r="AA29">
        <v>0</v>
      </c>
      <c r="AB29">
        <v>0</v>
      </c>
    </row>
    <row r="30" spans="12:28">
      <c r="L30" t="s">
        <v>87</v>
      </c>
      <c r="M30">
        <v>1300000000000</v>
      </c>
      <c r="N30">
        <v>330000000000</v>
      </c>
      <c r="O30">
        <v>5200000000000</v>
      </c>
      <c r="P30">
        <v>0.66300000000000003</v>
      </c>
      <c r="Q30">
        <v>1.63</v>
      </c>
      <c r="R30">
        <v>2.4300000000000002</v>
      </c>
      <c r="S30">
        <v>0.393666666666667</v>
      </c>
      <c r="T30">
        <v>0</v>
      </c>
      <c r="U30">
        <v>0</v>
      </c>
      <c r="V30">
        <v>0</v>
      </c>
      <c r="W30">
        <v>0</v>
      </c>
      <c r="X30">
        <v>0</v>
      </c>
      <c r="Y30">
        <v>1</v>
      </c>
      <c r="Z30">
        <v>0</v>
      </c>
      <c r="AA30">
        <v>0</v>
      </c>
      <c r="AB30">
        <v>0</v>
      </c>
    </row>
    <row r="31" spans="12:28">
      <c r="L31" t="s">
        <v>93</v>
      </c>
      <c r="M31">
        <v>1300000000000</v>
      </c>
      <c r="N31">
        <v>330000000000</v>
      </c>
      <c r="O31">
        <v>5300000000000</v>
      </c>
      <c r="P31">
        <v>0.66500000000000004</v>
      </c>
      <c r="Q31">
        <v>1.53</v>
      </c>
      <c r="R31">
        <v>2.4500000000000002</v>
      </c>
      <c r="S31">
        <v>0.392666666666667</v>
      </c>
      <c r="T31">
        <v>0</v>
      </c>
      <c r="U31">
        <v>0</v>
      </c>
      <c r="V31">
        <v>0</v>
      </c>
      <c r="W31">
        <v>0</v>
      </c>
      <c r="X31">
        <v>0</v>
      </c>
      <c r="Y31">
        <v>1</v>
      </c>
      <c r="Z31">
        <v>0</v>
      </c>
      <c r="AA31">
        <v>0</v>
      </c>
      <c r="AB31">
        <v>0</v>
      </c>
    </row>
    <row r="32" spans="12:28">
      <c r="L32" t="s">
        <v>94</v>
      </c>
      <c r="M32">
        <v>1300000000000</v>
      </c>
      <c r="N32">
        <v>330000000000</v>
      </c>
      <c r="O32">
        <v>5400000000000</v>
      </c>
      <c r="P32">
        <v>0.66700000000000004</v>
      </c>
      <c r="Q32">
        <v>1.43</v>
      </c>
      <c r="R32">
        <v>2.4700000000000002</v>
      </c>
      <c r="S32">
        <v>0.391666666666667</v>
      </c>
      <c r="T32">
        <v>0</v>
      </c>
      <c r="U32">
        <v>0</v>
      </c>
      <c r="V32">
        <v>0</v>
      </c>
      <c r="W32">
        <v>0</v>
      </c>
      <c r="X32">
        <v>0</v>
      </c>
      <c r="Y32">
        <v>1</v>
      </c>
      <c r="Z32">
        <v>0</v>
      </c>
      <c r="AA32">
        <v>0</v>
      </c>
      <c r="AB32">
        <v>0</v>
      </c>
    </row>
    <row r="33" spans="12:28">
      <c r="L33" t="s">
        <v>95</v>
      </c>
      <c r="M33">
        <v>1300000000000</v>
      </c>
      <c r="N33">
        <v>360000000000</v>
      </c>
      <c r="O33">
        <v>5200000000000</v>
      </c>
      <c r="P33">
        <v>0.66900000000000004</v>
      </c>
      <c r="Q33">
        <v>1.33</v>
      </c>
      <c r="R33">
        <v>2.4900000000000002</v>
      </c>
      <c r="S33">
        <v>0.390666666666667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1</v>
      </c>
    </row>
    <row r="34" spans="12:28">
      <c r="L34" t="s">
        <v>96</v>
      </c>
      <c r="M34">
        <v>1400000000000</v>
      </c>
      <c r="N34">
        <v>360000000000</v>
      </c>
      <c r="O34">
        <v>5300000000000</v>
      </c>
      <c r="P34">
        <v>0.67100000000000004</v>
      </c>
      <c r="Q34">
        <v>1.23</v>
      </c>
      <c r="R34">
        <v>2.5099999999999998</v>
      </c>
      <c r="S34">
        <v>0.38966666666666699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78"/>
  <sheetViews>
    <sheetView topLeftCell="I1" zoomScale="85" zoomScaleNormal="85" workbookViewId="0">
      <selection activeCell="AA18" sqref="AA18"/>
    </sheetView>
  </sheetViews>
  <sheetFormatPr defaultRowHeight="18.75"/>
  <cols>
    <col min="1" max="1" width="10.25" bestFit="1" customWidth="1"/>
    <col min="2" max="2" width="11.875" bestFit="1" customWidth="1"/>
    <col min="3" max="5" width="11.25" bestFit="1" customWidth="1"/>
    <col min="6" max="6" width="11.375" bestFit="1" customWidth="1"/>
    <col min="7" max="7" width="10.5" bestFit="1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  <c r="L1" t="s">
        <v>146</v>
      </c>
      <c r="V1" t="s">
        <v>184</v>
      </c>
      <c r="W1" t="s">
        <v>177</v>
      </c>
      <c r="X1" t="s">
        <v>178</v>
      </c>
    </row>
    <row r="2" spans="1:26">
      <c r="A2" s="2" t="s">
        <v>136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174</v>
      </c>
      <c r="T2" t="s">
        <v>175</v>
      </c>
    </row>
    <row r="3" spans="1:26">
      <c r="A3" s="2" t="s">
        <v>137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21</v>
      </c>
      <c r="M3" t="s">
        <v>69</v>
      </c>
      <c r="T3" s="5" t="s">
        <v>21</v>
      </c>
      <c r="U3" t="s">
        <v>69</v>
      </c>
    </row>
    <row r="4" spans="1:26">
      <c r="A4" s="2" t="s">
        <v>138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15</v>
      </c>
      <c r="M4" s="1">
        <v>0.64900000000000002</v>
      </c>
      <c r="N4" s="1">
        <v>0.67500000000000004</v>
      </c>
      <c r="T4" t="s">
        <v>15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181</v>
      </c>
    </row>
    <row r="5" spans="1:26">
      <c r="A5" s="2" t="s">
        <v>139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16</v>
      </c>
      <c r="M5" s="1">
        <v>0.65100000000000002</v>
      </c>
      <c r="N5" s="1">
        <v>0.67500000000000004</v>
      </c>
      <c r="T5" t="s">
        <v>16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182</v>
      </c>
    </row>
    <row r="6" spans="1:26">
      <c r="A6" s="2" t="s">
        <v>140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17</v>
      </c>
      <c r="M6" s="1">
        <v>0.65300000000000002</v>
      </c>
      <c r="N6" s="1">
        <v>0.67500000000000004</v>
      </c>
      <c r="T6" t="s">
        <v>17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183</v>
      </c>
    </row>
    <row r="7" spans="1:26">
      <c r="A7" s="2" t="s">
        <v>141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18</v>
      </c>
      <c r="M7" s="1">
        <v>0.65500000000000003</v>
      </c>
      <c r="N7" s="1">
        <v>0.67500000000000004</v>
      </c>
      <c r="T7" t="s">
        <v>18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19</v>
      </c>
      <c r="M8" s="1">
        <v>0.65700000000000003</v>
      </c>
      <c r="T8" t="s">
        <v>19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20</v>
      </c>
      <c r="M9" s="1">
        <v>0.65900000000000003</v>
      </c>
      <c r="T9" t="s">
        <v>20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21</v>
      </c>
      <c r="F10" t="s">
        <v>69</v>
      </c>
      <c r="L10" t="s">
        <v>93</v>
      </c>
      <c r="M10" s="1">
        <v>0.66500000000000004</v>
      </c>
      <c r="T10" t="s">
        <v>93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15</v>
      </c>
      <c r="F11" s="37">
        <v>20</v>
      </c>
      <c r="G11" s="1"/>
      <c r="L11" t="s">
        <v>94</v>
      </c>
      <c r="M11" s="1">
        <v>0.66700000000000004</v>
      </c>
      <c r="N11" s="1">
        <v>0.67500000000000004</v>
      </c>
      <c r="O11" s="1"/>
      <c r="T11" t="s">
        <v>94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16</v>
      </c>
      <c r="F12" s="37">
        <v>25</v>
      </c>
      <c r="G12" s="1"/>
      <c r="L12" t="s">
        <v>95</v>
      </c>
      <c r="M12" s="1">
        <v>0.66900000000000004</v>
      </c>
      <c r="N12" s="1">
        <v>0.67500000000000004</v>
      </c>
      <c r="O12" s="1"/>
      <c r="T12" t="s">
        <v>95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17</v>
      </c>
      <c r="F13" s="37">
        <v>40</v>
      </c>
      <c r="G13" s="1"/>
      <c r="L13" t="s">
        <v>96</v>
      </c>
      <c r="M13" s="1">
        <v>0.67100000000000004</v>
      </c>
      <c r="N13" s="1">
        <v>0.67500000000000004</v>
      </c>
      <c r="T13" t="s">
        <v>96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18</v>
      </c>
      <c r="F14" s="37">
        <v>900</v>
      </c>
      <c r="G14" s="1"/>
    </row>
    <row r="15" spans="1:26">
      <c r="E15" t="s">
        <v>19</v>
      </c>
      <c r="F15" s="37">
        <v>160</v>
      </c>
    </row>
    <row r="16" spans="1:26">
      <c r="E16" t="s">
        <v>20</v>
      </c>
      <c r="F16" s="37">
        <v>300</v>
      </c>
    </row>
    <row r="17" spans="5:20">
      <c r="E17" t="s">
        <v>93</v>
      </c>
      <c r="F17" s="37">
        <v>1000</v>
      </c>
    </row>
    <row r="18" spans="5:20">
      <c r="E18" t="s">
        <v>94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171</v>
      </c>
      <c r="T27" t="s">
        <v>179</v>
      </c>
    </row>
    <row r="28" spans="5:20">
      <c r="L28" t="s">
        <v>172</v>
      </c>
      <c r="T28" t="s">
        <v>186</v>
      </c>
    </row>
    <row r="29" spans="5:20">
      <c r="L29" t="s">
        <v>176</v>
      </c>
    </row>
    <row r="30" spans="5:20">
      <c r="L30" t="s">
        <v>173</v>
      </c>
    </row>
    <row r="31" spans="5:20">
      <c r="L31" t="s">
        <v>180</v>
      </c>
    </row>
    <row r="32" spans="5:20">
      <c r="L32" t="s">
        <v>185</v>
      </c>
    </row>
    <row r="34" spans="5:16">
      <c r="E34" t="s">
        <v>187</v>
      </c>
      <c r="K34" s="32"/>
      <c r="L34" s="32"/>
      <c r="M34" s="32"/>
      <c r="N34" s="32"/>
      <c r="O34" s="32"/>
      <c r="P34" s="32"/>
    </row>
    <row r="35" spans="5:16">
      <c r="E35" t="s">
        <v>188</v>
      </c>
      <c r="K35" s="33"/>
      <c r="L35" s="33"/>
      <c r="M35" s="33"/>
      <c r="N35" s="33"/>
      <c r="O35" s="33"/>
      <c r="P35" s="33"/>
    </row>
    <row r="36" spans="5:16">
      <c r="E36" t="s">
        <v>189</v>
      </c>
      <c r="K36" s="36"/>
      <c r="L36" s="36"/>
      <c r="M36" s="36"/>
      <c r="N36" s="36"/>
      <c r="O36" s="36"/>
      <c r="P36" s="36"/>
    </row>
    <row r="37" spans="5:16">
      <c r="E37" t="s">
        <v>190</v>
      </c>
      <c r="K37" s="36"/>
      <c r="L37" s="36"/>
      <c r="M37" s="36"/>
      <c r="N37" s="36"/>
      <c r="O37" s="36"/>
      <c r="P37" s="36"/>
    </row>
    <row r="38" spans="5:16">
      <c r="K38" s="36"/>
      <c r="L38" s="36"/>
      <c r="M38" s="36"/>
      <c r="N38" s="36"/>
      <c r="O38" s="36"/>
      <c r="P38" s="36"/>
    </row>
    <row r="55" spans="11:17">
      <c r="Q55" s="34"/>
    </row>
    <row r="56" spans="11:17">
      <c r="Q56" s="34"/>
    </row>
    <row r="57" spans="11:17">
      <c r="Q57" s="34"/>
    </row>
    <row r="58" spans="11:17">
      <c r="Q58" s="34"/>
    </row>
    <row r="59" spans="11:17">
      <c r="K59" s="34"/>
      <c r="L59" s="34"/>
      <c r="M59" s="34"/>
      <c r="N59" s="34"/>
      <c r="O59" s="34"/>
      <c r="P59" s="34"/>
      <c r="Q59" s="34"/>
    </row>
    <row r="60" spans="11:17">
      <c r="K60" s="34"/>
      <c r="L60" s="34"/>
      <c r="M60" s="34"/>
      <c r="N60" s="34"/>
      <c r="O60" s="34"/>
      <c r="P60" s="34"/>
      <c r="Q60" s="34"/>
    </row>
    <row r="61" spans="11:17">
      <c r="K61" s="34"/>
      <c r="L61" s="34"/>
      <c r="M61" s="34"/>
      <c r="N61" s="34"/>
      <c r="O61" s="34"/>
      <c r="P61" s="34"/>
      <c r="Q61" s="34"/>
    </row>
    <row r="62" spans="11:17">
      <c r="K62" s="34"/>
      <c r="L62" s="34"/>
      <c r="M62" s="34"/>
      <c r="N62" s="34"/>
      <c r="O62" s="34"/>
      <c r="P62" s="34"/>
      <c r="Q62" s="34"/>
    </row>
    <row r="63" spans="11:17">
      <c r="K63" s="34"/>
      <c r="L63" s="34"/>
      <c r="M63" s="34"/>
      <c r="N63" s="34"/>
      <c r="O63" s="34"/>
      <c r="P63" s="34"/>
      <c r="Q63" s="34"/>
    </row>
    <row r="64" spans="1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</sheetData>
  <phoneticPr fontId="1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>
      <selection activeCell="A4" sqref="A4"/>
    </sheetView>
  </sheetViews>
  <sheetFormatPr defaultRowHeight="13.5"/>
  <cols>
    <col min="1" max="16384" width="9" style="34"/>
  </cols>
  <sheetData>
    <row r="1" spans="1:18">
      <c r="A1" s="34" t="s">
        <v>161</v>
      </c>
    </row>
    <row r="2" spans="1:18">
      <c r="A2" s="34" t="s">
        <v>162</v>
      </c>
    </row>
    <row r="3" spans="1:18">
      <c r="A3" s="34" t="s">
        <v>170</v>
      </c>
    </row>
    <row r="6" spans="1:18">
      <c r="A6" s="33" t="s">
        <v>147</v>
      </c>
      <c r="B6" s="33" t="s">
        <v>148</v>
      </c>
      <c r="C6" s="33" t="s">
        <v>149</v>
      </c>
      <c r="D6" s="33" t="s">
        <v>150</v>
      </c>
      <c r="E6" s="33" t="s">
        <v>151</v>
      </c>
      <c r="F6" s="33" t="s">
        <v>152</v>
      </c>
      <c r="G6" s="33" t="s">
        <v>153</v>
      </c>
      <c r="H6" s="33" t="s">
        <v>154</v>
      </c>
      <c r="I6" s="33" t="s">
        <v>155</v>
      </c>
      <c r="J6" s="33" t="s">
        <v>156</v>
      </c>
      <c r="K6" s="33" t="s">
        <v>157</v>
      </c>
      <c r="L6" s="33" t="s">
        <v>158</v>
      </c>
      <c r="M6" s="33" t="s">
        <v>159</v>
      </c>
      <c r="R6" s="34" t="s">
        <v>166</v>
      </c>
    </row>
    <row r="7" spans="1:18" ht="18.75">
      <c r="A7" s="35" t="s">
        <v>160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165</v>
      </c>
      <c r="R7" s="34" t="s">
        <v>168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163</v>
      </c>
      <c r="R8" s="34" t="s">
        <v>167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164</v>
      </c>
      <c r="R9" s="34" t="s">
        <v>169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>
      <selection sqref="A1:N24"/>
    </sheetView>
  </sheetViews>
  <sheetFormatPr defaultRowHeight="13.5"/>
  <cols>
    <col min="1" max="16384" width="9" style="34"/>
  </cols>
  <sheetData>
    <row r="1" spans="1:13">
      <c r="A1" s="33" t="s">
        <v>147</v>
      </c>
      <c r="B1" s="33" t="s">
        <v>148</v>
      </c>
      <c r="C1" s="33" t="s">
        <v>149</v>
      </c>
      <c r="D1" s="33" t="s">
        <v>150</v>
      </c>
      <c r="E1" s="33" t="s">
        <v>151</v>
      </c>
      <c r="F1" s="33" t="s">
        <v>152</v>
      </c>
      <c r="G1" s="33" t="s">
        <v>153</v>
      </c>
      <c r="H1" s="33" t="s">
        <v>154</v>
      </c>
      <c r="I1" s="33" t="s">
        <v>155</v>
      </c>
      <c r="J1" s="33" t="s">
        <v>156</v>
      </c>
      <c r="K1" s="33" t="s">
        <v>157</v>
      </c>
      <c r="L1" s="33" t="s">
        <v>158</v>
      </c>
      <c r="M1" s="33" t="s">
        <v>159</v>
      </c>
    </row>
    <row r="2" spans="1:13" ht="18.75">
      <c r="A2" s="35" t="s">
        <v>160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421FF-A4FA-4110-8939-346F503B4620}">
  <sheetPr codeName="Sheet20"/>
  <dimension ref="A1:J40"/>
  <sheetViews>
    <sheetView zoomScaleNormal="100" workbookViewId="0">
      <selection activeCell="D13" sqref="D13"/>
    </sheetView>
  </sheetViews>
  <sheetFormatPr defaultRowHeight="18.75"/>
  <sheetData>
    <row r="1" spans="1:10">
      <c r="A1" t="s">
        <v>121</v>
      </c>
    </row>
    <row r="4" spans="1:10">
      <c r="A4" t="s">
        <v>205</v>
      </c>
    </row>
    <row r="5" spans="1:10">
      <c r="B5" t="s">
        <v>123</v>
      </c>
    </row>
    <row r="6" spans="1:10">
      <c r="A6" t="s">
        <v>124</v>
      </c>
      <c r="B6" t="s">
        <v>294</v>
      </c>
      <c r="C6" t="s">
        <v>295</v>
      </c>
      <c r="D6" t="s">
        <v>296</v>
      </c>
      <c r="E6" t="s">
        <v>297</v>
      </c>
      <c r="F6" t="s">
        <v>298</v>
      </c>
      <c r="G6" t="s">
        <v>299</v>
      </c>
      <c r="H6" t="s">
        <v>300</v>
      </c>
      <c r="I6" t="s">
        <v>301</v>
      </c>
      <c r="J6" t="s">
        <v>302</v>
      </c>
    </row>
    <row r="7" spans="1:10">
      <c r="A7">
        <v>5200000000000</v>
      </c>
      <c r="B7">
        <v>0.64900000000000002</v>
      </c>
      <c r="F7">
        <v>0.65500000000000003</v>
      </c>
      <c r="G7">
        <v>0.66300000000000003</v>
      </c>
      <c r="J7">
        <v>0.66900000000000004</v>
      </c>
    </row>
    <row r="8" spans="1:10">
      <c r="A8">
        <v>5300000000000</v>
      </c>
      <c r="B8">
        <v>0.65100000000000002</v>
      </c>
      <c r="F8">
        <v>0.65700000000000003</v>
      </c>
      <c r="G8">
        <v>0.66500000000000004</v>
      </c>
    </row>
    <row r="9" spans="1:10">
      <c r="A9">
        <v>5400000000000</v>
      </c>
      <c r="B9">
        <v>0.65300000000000002</v>
      </c>
      <c r="F9">
        <v>0.66100000000000003</v>
      </c>
      <c r="G9">
        <v>0.66700000000000004</v>
      </c>
    </row>
    <row r="11" spans="1:10">
      <c r="A11" t="s">
        <v>124</v>
      </c>
      <c r="B11" t="s">
        <v>294</v>
      </c>
      <c r="C11" t="s">
        <v>298</v>
      </c>
      <c r="D11" t="s">
        <v>299</v>
      </c>
      <c r="E11" t="s">
        <v>308</v>
      </c>
      <c r="F11" t="s">
        <v>309</v>
      </c>
      <c r="G11" t="s">
        <v>310</v>
      </c>
    </row>
    <row r="12" spans="1:10">
      <c r="A12">
        <v>5200000000000</v>
      </c>
      <c r="B12">
        <v>0.64900000000000002</v>
      </c>
      <c r="C12">
        <v>0.65500000000000003</v>
      </c>
      <c r="D12">
        <v>0.66300000000000003</v>
      </c>
      <c r="E12">
        <v>0.64100000000000001</v>
      </c>
      <c r="F12">
        <v>0.65100000000000002</v>
      </c>
      <c r="G12">
        <v>0.67100000000000004</v>
      </c>
    </row>
    <row r="13" spans="1:10">
      <c r="A13">
        <v>5300000000000</v>
      </c>
      <c r="B13">
        <v>0.65100000000000002</v>
      </c>
      <c r="E13">
        <v>0.64100000000000001</v>
      </c>
      <c r="F13">
        <v>0.65100000000000002</v>
      </c>
      <c r="G13">
        <v>0.67100000000000004</v>
      </c>
    </row>
    <row r="14" spans="1:10">
      <c r="A14">
        <v>5400000000000</v>
      </c>
      <c r="B14">
        <v>0.65300000000000002</v>
      </c>
      <c r="C14">
        <v>0.66100000000000003</v>
      </c>
      <c r="E14">
        <v>0.64100000000000001</v>
      </c>
      <c r="F14">
        <v>0.65100000000000002</v>
      </c>
      <c r="G14">
        <v>0.67100000000000004</v>
      </c>
    </row>
    <row r="19" spans="1:10">
      <c r="A19" t="s">
        <v>206</v>
      </c>
    </row>
    <row r="20" spans="1:10">
      <c r="B20" t="s">
        <v>123</v>
      </c>
    </row>
    <row r="21" spans="1:10">
      <c r="A21" t="s">
        <v>124</v>
      </c>
      <c r="B21" t="s">
        <v>294</v>
      </c>
      <c r="C21" t="s">
        <v>295</v>
      </c>
      <c r="D21" t="s">
        <v>296</v>
      </c>
      <c r="E21" t="s">
        <v>297</v>
      </c>
      <c r="F21" t="s">
        <v>298</v>
      </c>
      <c r="G21" t="s">
        <v>299</v>
      </c>
      <c r="H21" t="s">
        <v>300</v>
      </c>
      <c r="I21" t="s">
        <v>301</v>
      </c>
      <c r="J21" t="s">
        <v>302</v>
      </c>
    </row>
    <row r="22" spans="1:10">
      <c r="A22">
        <v>5200000000000</v>
      </c>
      <c r="B22">
        <v>2.33</v>
      </c>
      <c r="F22">
        <v>2.0299999999999998</v>
      </c>
      <c r="G22">
        <v>1.63</v>
      </c>
      <c r="J22">
        <v>1.33</v>
      </c>
    </row>
    <row r="23" spans="1:10">
      <c r="A23">
        <v>5300000000000</v>
      </c>
      <c r="B23">
        <v>2.23</v>
      </c>
      <c r="F23">
        <v>1.93</v>
      </c>
      <c r="G23">
        <v>1.53</v>
      </c>
    </row>
    <row r="24" spans="1:10">
      <c r="A24">
        <v>5400000000000</v>
      </c>
      <c r="B24">
        <v>2.13</v>
      </c>
      <c r="F24">
        <v>1.73</v>
      </c>
      <c r="G24">
        <v>1.43</v>
      </c>
    </row>
    <row r="27" spans="1:10">
      <c r="A27" t="s">
        <v>207</v>
      </c>
    </row>
    <row r="28" spans="1:10">
      <c r="B28" t="s">
        <v>123</v>
      </c>
    </row>
    <row r="29" spans="1:10">
      <c r="A29" t="s">
        <v>124</v>
      </c>
      <c r="B29" t="s">
        <v>294</v>
      </c>
      <c r="C29" t="s">
        <v>295</v>
      </c>
      <c r="D29" t="s">
        <v>296</v>
      </c>
      <c r="E29" t="s">
        <v>297</v>
      </c>
      <c r="F29" t="s">
        <v>298</v>
      </c>
      <c r="G29" t="s">
        <v>299</v>
      </c>
      <c r="H29" t="s">
        <v>300</v>
      </c>
      <c r="I29" t="s">
        <v>301</v>
      </c>
      <c r="J29" t="s">
        <v>302</v>
      </c>
    </row>
    <row r="30" spans="1:10">
      <c r="A30">
        <v>5200000000000</v>
      </c>
      <c r="B30">
        <v>2.29</v>
      </c>
      <c r="F30">
        <v>2.35</v>
      </c>
      <c r="G30">
        <v>2.4300000000000002</v>
      </c>
      <c r="J30">
        <v>2.4900000000000002</v>
      </c>
    </row>
    <row r="31" spans="1:10">
      <c r="A31">
        <v>5300000000000</v>
      </c>
      <c r="B31">
        <v>2.31</v>
      </c>
      <c r="F31">
        <v>2.37</v>
      </c>
      <c r="G31">
        <v>2.4500000000000002</v>
      </c>
    </row>
    <row r="32" spans="1:10">
      <c r="A32">
        <v>5400000000000</v>
      </c>
      <c r="B32">
        <v>2.33</v>
      </c>
      <c r="F32">
        <v>2.41</v>
      </c>
      <c r="G32">
        <v>2.4700000000000002</v>
      </c>
    </row>
    <row r="35" spans="1:10">
      <c r="A35" t="s">
        <v>208</v>
      </c>
    </row>
    <row r="36" spans="1:10">
      <c r="B36" t="s">
        <v>123</v>
      </c>
    </row>
    <row r="37" spans="1:10">
      <c r="A37" t="s">
        <v>124</v>
      </c>
      <c r="B37" t="s">
        <v>294</v>
      </c>
      <c r="C37" t="s">
        <v>295</v>
      </c>
      <c r="D37" t="s">
        <v>296</v>
      </c>
      <c r="E37" t="s">
        <v>297</v>
      </c>
      <c r="F37" t="s">
        <v>298</v>
      </c>
      <c r="G37" t="s">
        <v>299</v>
      </c>
      <c r="H37" t="s">
        <v>300</v>
      </c>
      <c r="I37" t="s">
        <v>301</v>
      </c>
      <c r="J37" t="s">
        <v>302</v>
      </c>
    </row>
    <row r="38" spans="1:10">
      <c r="A38">
        <v>5200000000000</v>
      </c>
      <c r="B38">
        <v>0.4</v>
      </c>
      <c r="F38">
        <v>0.397666666666667</v>
      </c>
      <c r="G38">
        <v>0.393666666666667</v>
      </c>
      <c r="J38">
        <v>0.390666666666667</v>
      </c>
    </row>
    <row r="39" spans="1:10">
      <c r="A39">
        <v>5300000000000</v>
      </c>
      <c r="B39">
        <v>0.40100000000000002</v>
      </c>
      <c r="F39">
        <v>0.396666666666667</v>
      </c>
      <c r="G39">
        <v>0.392666666666667</v>
      </c>
    </row>
    <row r="40" spans="1:10">
      <c r="A40">
        <v>5400000000000</v>
      </c>
      <c r="B40">
        <v>0.39800000000000002</v>
      </c>
      <c r="F40">
        <v>0.394666666666667</v>
      </c>
      <c r="G40">
        <v>0.391666666666667</v>
      </c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6C27B-790E-4BA4-BAFB-E8C965D0A9EF}">
  <sheetPr codeName="Sheet5">
    <tabColor theme="9"/>
  </sheetPr>
  <dimension ref="A6:M76"/>
  <sheetViews>
    <sheetView workbookViewId="0">
      <selection activeCell="E10" sqref="E10"/>
    </sheetView>
  </sheetViews>
  <sheetFormatPr defaultRowHeight="18.75"/>
  <cols>
    <col min="2" max="2" width="10.5" bestFit="1" customWidth="1"/>
    <col min="4" max="4" width="10.5" bestFit="1" customWidth="1"/>
    <col min="5" max="5" width="22.5" customWidth="1"/>
    <col min="7" max="7" width="9.5" bestFit="1" customWidth="1"/>
    <col min="8" max="10" width="9" customWidth="1"/>
    <col min="11" max="11" width="11" bestFit="1" customWidth="1"/>
  </cols>
  <sheetData>
    <row r="6" spans="1:13">
      <c r="E6" t="s">
        <v>251</v>
      </c>
    </row>
    <row r="7" spans="1:13">
      <c r="B7" t="s">
        <v>252</v>
      </c>
      <c r="C7" t="s">
        <v>252</v>
      </c>
      <c r="D7" t="s">
        <v>252</v>
      </c>
      <c r="F7" t="s">
        <v>253</v>
      </c>
      <c r="G7" t="s">
        <v>253</v>
      </c>
      <c r="H7" t="s">
        <v>254</v>
      </c>
      <c r="I7" t="s">
        <v>254</v>
      </c>
      <c r="J7" t="s">
        <v>254</v>
      </c>
      <c r="K7" t="s">
        <v>254</v>
      </c>
      <c r="L7" t="s">
        <v>254</v>
      </c>
      <c r="M7" t="s">
        <v>253</v>
      </c>
    </row>
    <row r="8" spans="1:13">
      <c r="F8" t="s">
        <v>255</v>
      </c>
      <c r="G8" t="s">
        <v>256</v>
      </c>
      <c r="H8" t="s">
        <v>257</v>
      </c>
      <c r="I8" t="s">
        <v>255</v>
      </c>
      <c r="J8" t="s">
        <v>258</v>
      </c>
      <c r="K8" t="s">
        <v>259</v>
      </c>
      <c r="L8" t="s">
        <v>260</v>
      </c>
      <c r="M8" t="s">
        <v>261</v>
      </c>
    </row>
    <row r="9" spans="1:13">
      <c r="A9" t="s">
        <v>252</v>
      </c>
      <c r="F9" t="s">
        <v>128</v>
      </c>
      <c r="G9" t="s">
        <v>128</v>
      </c>
      <c r="H9" t="s">
        <v>128</v>
      </c>
      <c r="I9" t="s">
        <v>129</v>
      </c>
      <c r="J9" t="s">
        <v>128</v>
      </c>
      <c r="K9" t="s">
        <v>129</v>
      </c>
      <c r="L9" t="s">
        <v>128</v>
      </c>
      <c r="M9" t="s">
        <v>128</v>
      </c>
    </row>
    <row r="10" spans="1:13">
      <c r="E10" s="2" t="s">
        <v>12</v>
      </c>
      <c r="F10" s="2" t="s">
        <v>103</v>
      </c>
      <c r="G10" s="2" t="s">
        <v>104</v>
      </c>
      <c r="H10" s="2" t="s">
        <v>105</v>
      </c>
      <c r="I10" s="2" t="s">
        <v>106</v>
      </c>
      <c r="J10" s="2" t="s">
        <v>107</v>
      </c>
      <c r="K10" s="2" t="s">
        <v>108</v>
      </c>
      <c r="L10" s="2" t="s">
        <v>109</v>
      </c>
      <c r="M10" s="2" t="s">
        <v>110</v>
      </c>
    </row>
    <row r="11" spans="1:13">
      <c r="E11" s="2" t="s">
        <v>262</v>
      </c>
      <c r="F11" s="1">
        <v>1100000000000</v>
      </c>
      <c r="G11" s="1">
        <v>200000000000</v>
      </c>
      <c r="H11" s="2">
        <v>1</v>
      </c>
      <c r="I11" s="1">
        <v>5200000000000</v>
      </c>
      <c r="J11" s="2">
        <v>1</v>
      </c>
      <c r="K11">
        <f>311000000000</f>
        <v>311000000000</v>
      </c>
      <c r="L11" s="2">
        <v>-1.1000000000000001</v>
      </c>
      <c r="M11" s="2">
        <v>2</v>
      </c>
    </row>
    <row r="12" spans="1:13">
      <c r="E12" s="2" t="s">
        <v>263</v>
      </c>
      <c r="F12" s="1">
        <v>1100000000000</v>
      </c>
      <c r="G12" s="1">
        <v>200000000000</v>
      </c>
      <c r="H12" s="2">
        <v>1</v>
      </c>
      <c r="I12" s="21">
        <v>5300000000000</v>
      </c>
      <c r="J12" s="18">
        <v>2</v>
      </c>
      <c r="K12">
        <f>311000000000</f>
        <v>311000000000</v>
      </c>
      <c r="L12" s="2">
        <v>-1.1000000000000001</v>
      </c>
      <c r="M12" s="2">
        <v>2</v>
      </c>
    </row>
    <row r="13" spans="1:13">
      <c r="E13" s="2" t="s">
        <v>264</v>
      </c>
      <c r="F13" s="1">
        <v>1100000000000</v>
      </c>
      <c r="G13" s="1">
        <v>200000000000</v>
      </c>
      <c r="H13" s="2">
        <v>1</v>
      </c>
      <c r="I13" s="26">
        <v>5400000000000</v>
      </c>
      <c r="J13">
        <v>3</v>
      </c>
      <c r="K13">
        <f>311000000000</f>
        <v>311000000000</v>
      </c>
      <c r="L13" s="17">
        <v>-1.2</v>
      </c>
      <c r="M13" s="2">
        <v>2</v>
      </c>
    </row>
    <row r="14" spans="1:13">
      <c r="E14" s="2" t="s">
        <v>265</v>
      </c>
      <c r="F14" s="4">
        <v>1200000000000</v>
      </c>
      <c r="G14" s="1">
        <v>200000000000</v>
      </c>
      <c r="H14" s="2">
        <v>1</v>
      </c>
      <c r="I14" s="1">
        <v>5200000000000</v>
      </c>
      <c r="J14" s="2">
        <v>1</v>
      </c>
      <c r="K14" s="23">
        <v>330000000000</v>
      </c>
      <c r="L14" s="17">
        <v>-1.2</v>
      </c>
      <c r="M14" s="2">
        <v>2</v>
      </c>
    </row>
    <row r="15" spans="1:13">
      <c r="E15" s="2" t="s">
        <v>266</v>
      </c>
      <c r="F15" s="4">
        <v>1200000000000</v>
      </c>
      <c r="G15" s="1">
        <v>200000000000</v>
      </c>
      <c r="H15" s="2">
        <v>1</v>
      </c>
      <c r="I15" s="21">
        <v>5300000000000</v>
      </c>
      <c r="J15" s="18">
        <v>2</v>
      </c>
      <c r="K15" s="23">
        <v>330000000000</v>
      </c>
      <c r="L15" s="17">
        <v>-1.2</v>
      </c>
      <c r="M15" s="2">
        <v>2</v>
      </c>
    </row>
    <row r="16" spans="1:13">
      <c r="E16" s="2" t="s">
        <v>267</v>
      </c>
      <c r="F16" s="4">
        <v>1200000000000</v>
      </c>
      <c r="G16" s="1">
        <v>200000000000</v>
      </c>
      <c r="H16" s="2">
        <v>1</v>
      </c>
      <c r="I16" s="26">
        <v>5400000000000</v>
      </c>
      <c r="J16" s="19">
        <v>3</v>
      </c>
      <c r="K16" s="23">
        <v>330000000000</v>
      </c>
      <c r="L16" s="17">
        <v>-1.2</v>
      </c>
      <c r="M16" s="2">
        <v>2</v>
      </c>
    </row>
    <row r="17" spans="1:13">
      <c r="E17" s="2" t="s">
        <v>268</v>
      </c>
      <c r="F17" s="4">
        <v>1200000000000</v>
      </c>
      <c r="G17" s="1">
        <v>200000000000</v>
      </c>
      <c r="H17" s="2">
        <v>1</v>
      </c>
      <c r="I17" s="22">
        <v>5400000000000</v>
      </c>
      <c r="J17" s="2">
        <v>1</v>
      </c>
      <c r="K17" s="23">
        <v>330000000000</v>
      </c>
      <c r="L17" s="39">
        <v>-1.3</v>
      </c>
      <c r="M17" s="2">
        <v>2</v>
      </c>
    </row>
    <row r="18" spans="1:13">
      <c r="E18" s="2" t="s">
        <v>269</v>
      </c>
      <c r="F18" s="4">
        <v>1300000000000</v>
      </c>
      <c r="G18" s="24">
        <v>300000000000</v>
      </c>
      <c r="H18" s="2">
        <v>1</v>
      </c>
      <c r="I18" s="1">
        <v>5200000000000</v>
      </c>
      <c r="J18" s="18">
        <v>2</v>
      </c>
      <c r="K18" s="23">
        <v>330000000000</v>
      </c>
      <c r="L18" s="39">
        <v>-1.3</v>
      </c>
      <c r="M18" s="2">
        <v>2</v>
      </c>
    </row>
    <row r="19" spans="1:13">
      <c r="E19" s="2" t="s">
        <v>270</v>
      </c>
      <c r="F19" s="4">
        <v>1300000000000</v>
      </c>
      <c r="G19" s="24">
        <v>300000000000</v>
      </c>
      <c r="H19" s="2">
        <v>1</v>
      </c>
      <c r="I19" s="21">
        <v>5300000000000</v>
      </c>
      <c r="J19" s="19">
        <v>3</v>
      </c>
      <c r="K19" s="23">
        <v>330000000000</v>
      </c>
      <c r="L19" s="39">
        <v>-1.3</v>
      </c>
      <c r="M19" s="2">
        <v>2</v>
      </c>
    </row>
    <row r="20" spans="1:13">
      <c r="E20" s="2" t="s">
        <v>271</v>
      </c>
      <c r="F20" s="4">
        <v>1300000000000</v>
      </c>
      <c r="G20" s="24">
        <v>300000000000</v>
      </c>
      <c r="H20" s="2">
        <v>1</v>
      </c>
      <c r="I20" s="26">
        <v>5400000000000</v>
      </c>
      <c r="J20" s="2">
        <v>1</v>
      </c>
      <c r="K20" s="23">
        <v>330000000000</v>
      </c>
      <c r="L20" s="39">
        <v>-1.3</v>
      </c>
      <c r="M20" s="2">
        <v>2</v>
      </c>
    </row>
    <row r="21" spans="1:13">
      <c r="E21" s="2" t="s">
        <v>272</v>
      </c>
      <c r="F21" s="4">
        <v>1300000000000</v>
      </c>
      <c r="G21" s="24">
        <v>300000000000</v>
      </c>
      <c r="H21" s="2">
        <v>1</v>
      </c>
      <c r="I21" s="1">
        <v>5200000000000</v>
      </c>
      <c r="J21" s="18">
        <v>2</v>
      </c>
      <c r="K21" s="25">
        <v>360000000000</v>
      </c>
      <c r="L21" s="39">
        <v>-1.3</v>
      </c>
      <c r="M21" s="2">
        <v>2</v>
      </c>
    </row>
    <row r="22" spans="1:13">
      <c r="E22" s="2" t="s">
        <v>273</v>
      </c>
      <c r="F22" s="4">
        <v>1400000000000</v>
      </c>
      <c r="G22" s="24">
        <v>300000000000</v>
      </c>
      <c r="H22" s="2">
        <v>1</v>
      </c>
      <c r="I22" s="21">
        <v>5300000000000</v>
      </c>
      <c r="J22" s="19">
        <v>3</v>
      </c>
      <c r="K22" s="25">
        <v>360000000000</v>
      </c>
      <c r="L22" s="39">
        <v>-1.3</v>
      </c>
      <c r="M22" s="2">
        <v>2</v>
      </c>
    </row>
    <row r="25" spans="1:13">
      <c r="E25" t="s">
        <v>274</v>
      </c>
    </row>
    <row r="26" spans="1:13">
      <c r="B26" t="s">
        <v>252</v>
      </c>
      <c r="C26" t="s">
        <v>252</v>
      </c>
      <c r="D26" t="s">
        <v>252</v>
      </c>
      <c r="F26" t="s">
        <v>253</v>
      </c>
      <c r="G26" t="s">
        <v>253</v>
      </c>
      <c r="H26" t="s">
        <v>254</v>
      </c>
      <c r="I26" t="s">
        <v>254</v>
      </c>
      <c r="J26" t="s">
        <v>254</v>
      </c>
      <c r="K26" t="s">
        <v>254</v>
      </c>
      <c r="L26" t="s">
        <v>254</v>
      </c>
      <c r="M26" t="s">
        <v>253</v>
      </c>
    </row>
    <row r="27" spans="1:13">
      <c r="F27" t="s">
        <v>255</v>
      </c>
      <c r="G27" t="s">
        <v>256</v>
      </c>
      <c r="H27" t="s">
        <v>257</v>
      </c>
      <c r="I27" t="s">
        <v>255</v>
      </c>
      <c r="J27" t="s">
        <v>258</v>
      </c>
      <c r="K27" t="s">
        <v>259</v>
      </c>
      <c r="L27" t="s">
        <v>260</v>
      </c>
      <c r="M27" t="s">
        <v>261</v>
      </c>
    </row>
    <row r="28" spans="1:13">
      <c r="A28" t="s">
        <v>252</v>
      </c>
      <c r="F28" t="s">
        <v>128</v>
      </c>
      <c r="G28" t="s">
        <v>128</v>
      </c>
      <c r="H28" t="s">
        <v>128</v>
      </c>
      <c r="I28" t="s">
        <v>129</v>
      </c>
      <c r="J28" t="s">
        <v>128</v>
      </c>
      <c r="K28" t="s">
        <v>129</v>
      </c>
      <c r="L28" t="s">
        <v>128</v>
      </c>
      <c r="M28" t="s">
        <v>128</v>
      </c>
    </row>
    <row r="29" spans="1:13">
      <c r="E29" s="2" t="s">
        <v>12</v>
      </c>
      <c r="F29" s="2" t="s">
        <v>103</v>
      </c>
      <c r="G29" s="2" t="s">
        <v>104</v>
      </c>
      <c r="H29" s="2" t="s">
        <v>105</v>
      </c>
      <c r="I29" s="2" t="s">
        <v>106</v>
      </c>
      <c r="J29" s="2" t="s">
        <v>107</v>
      </c>
      <c r="K29" s="2" t="s">
        <v>108</v>
      </c>
      <c r="L29" s="2" t="s">
        <v>109</v>
      </c>
      <c r="M29" s="2" t="s">
        <v>110</v>
      </c>
    </row>
    <row r="30" spans="1:13">
      <c r="E30" s="39" t="s">
        <v>145</v>
      </c>
      <c r="F30" s="1">
        <v>1100000000000</v>
      </c>
      <c r="G30" s="1">
        <v>200000000000</v>
      </c>
      <c r="H30" s="40">
        <v>10</v>
      </c>
      <c r="I30" s="1">
        <v>5200000000000</v>
      </c>
      <c r="J30" s="2">
        <v>1</v>
      </c>
      <c r="K30">
        <f t="shared" ref="K30:K35" si="0">311000000000</f>
        <v>311000000000</v>
      </c>
      <c r="L30" s="2">
        <v>-1.1000000000000001</v>
      </c>
      <c r="M30" s="40">
        <v>20</v>
      </c>
    </row>
    <row r="31" spans="1:13">
      <c r="E31" s="39" t="s">
        <v>16</v>
      </c>
      <c r="F31" s="1">
        <v>1100000000000</v>
      </c>
      <c r="G31" s="1">
        <v>200000000000</v>
      </c>
      <c r="H31" s="40">
        <v>10</v>
      </c>
      <c r="I31" s="21">
        <v>5300000000000</v>
      </c>
      <c r="J31" s="18">
        <v>2</v>
      </c>
      <c r="K31">
        <f t="shared" si="0"/>
        <v>311000000000</v>
      </c>
      <c r="L31" s="2">
        <v>-1.1000000000000001</v>
      </c>
      <c r="M31" s="40">
        <v>20</v>
      </c>
    </row>
    <row r="32" spans="1:13">
      <c r="E32" s="39" t="s">
        <v>17</v>
      </c>
      <c r="F32" s="1">
        <v>1100000000000</v>
      </c>
      <c r="G32" s="1">
        <v>200000000000</v>
      </c>
      <c r="H32" s="40">
        <v>10</v>
      </c>
      <c r="I32" s="26">
        <v>5400000000000</v>
      </c>
      <c r="J32">
        <v>3</v>
      </c>
      <c r="K32">
        <f t="shared" si="0"/>
        <v>311000000000</v>
      </c>
      <c r="L32" s="17">
        <v>-1.2</v>
      </c>
      <c r="M32" s="40">
        <v>20</v>
      </c>
    </row>
    <row r="33" spans="5:13">
      <c r="E33" s="2" t="s">
        <v>262</v>
      </c>
      <c r="F33" s="1">
        <v>1100000000000</v>
      </c>
      <c r="G33" s="1">
        <v>200000000000</v>
      </c>
      <c r="H33" s="40">
        <v>10</v>
      </c>
      <c r="I33" s="1">
        <v>5200000000000</v>
      </c>
      <c r="J33" s="2">
        <v>1</v>
      </c>
      <c r="K33">
        <f t="shared" si="0"/>
        <v>311000000000</v>
      </c>
      <c r="L33" s="2">
        <v>-1.1000000000000001</v>
      </c>
      <c r="M33" s="40">
        <v>20</v>
      </c>
    </row>
    <row r="34" spans="5:13">
      <c r="E34" s="2" t="s">
        <v>263</v>
      </c>
      <c r="F34" s="1">
        <v>1100000000000</v>
      </c>
      <c r="G34" s="1">
        <v>200000000000</v>
      </c>
      <c r="H34" s="40">
        <v>10</v>
      </c>
      <c r="I34" s="21">
        <v>5300000000000</v>
      </c>
      <c r="J34" s="18">
        <v>2</v>
      </c>
      <c r="K34">
        <f t="shared" si="0"/>
        <v>311000000000</v>
      </c>
      <c r="L34" s="2">
        <v>-1.1000000000000001</v>
      </c>
      <c r="M34" s="40">
        <v>20</v>
      </c>
    </row>
    <row r="35" spans="5:13">
      <c r="E35" s="2" t="s">
        <v>264</v>
      </c>
      <c r="F35" s="1">
        <v>1100000000000</v>
      </c>
      <c r="G35" s="1">
        <v>200000000000</v>
      </c>
      <c r="H35" s="40">
        <v>10</v>
      </c>
      <c r="I35" s="26">
        <v>5400000000000</v>
      </c>
      <c r="J35">
        <v>3</v>
      </c>
      <c r="K35">
        <f t="shared" si="0"/>
        <v>311000000000</v>
      </c>
      <c r="L35" s="17">
        <v>-1.2</v>
      </c>
      <c r="M35" s="40">
        <v>20</v>
      </c>
    </row>
    <row r="36" spans="5:13">
      <c r="E36" s="2" t="s">
        <v>265</v>
      </c>
      <c r="F36" s="4">
        <v>1200000000000</v>
      </c>
      <c r="G36" s="1">
        <v>200000000000</v>
      </c>
      <c r="H36" s="40">
        <v>10</v>
      </c>
      <c r="I36" s="1">
        <v>5200000000000</v>
      </c>
      <c r="J36" s="2">
        <v>1</v>
      </c>
      <c r="K36" s="23">
        <v>330000000000</v>
      </c>
      <c r="L36" s="17">
        <v>-1.2</v>
      </c>
      <c r="M36" s="40">
        <v>20</v>
      </c>
    </row>
    <row r="37" spans="5:13">
      <c r="E37" s="2" t="s">
        <v>266</v>
      </c>
      <c r="F37" s="4">
        <v>1200000000000</v>
      </c>
      <c r="G37" s="1">
        <v>200000000000</v>
      </c>
      <c r="H37" s="40">
        <v>10</v>
      </c>
      <c r="I37" s="21">
        <v>5300000000000</v>
      </c>
      <c r="J37" s="18">
        <v>2</v>
      </c>
      <c r="K37" s="23">
        <v>330000000000</v>
      </c>
      <c r="L37" s="17">
        <v>-1.2</v>
      </c>
      <c r="M37" s="40">
        <v>20</v>
      </c>
    </row>
    <row r="38" spans="5:13">
      <c r="E38" s="2" t="s">
        <v>267</v>
      </c>
      <c r="F38" s="4">
        <v>1200000000000</v>
      </c>
      <c r="G38" s="1">
        <v>200000000000</v>
      </c>
      <c r="H38" s="40">
        <v>10</v>
      </c>
      <c r="I38" s="26">
        <v>5400000000000</v>
      </c>
      <c r="J38" s="19">
        <v>3</v>
      </c>
      <c r="K38" s="23">
        <v>330000000000</v>
      </c>
      <c r="L38" s="17">
        <v>-1.2</v>
      </c>
      <c r="M38" s="40">
        <v>20</v>
      </c>
    </row>
    <row r="39" spans="5:13">
      <c r="E39" s="2" t="s">
        <v>268</v>
      </c>
      <c r="F39" s="4">
        <v>1200000000000</v>
      </c>
      <c r="G39" s="1">
        <v>200000000000</v>
      </c>
      <c r="H39" s="40">
        <v>10</v>
      </c>
      <c r="I39" s="22">
        <v>5400000000000</v>
      </c>
      <c r="J39" s="2">
        <v>1</v>
      </c>
      <c r="K39" s="23">
        <v>330000000000</v>
      </c>
      <c r="L39" s="39">
        <v>-1.3</v>
      </c>
      <c r="M39" s="40">
        <v>20</v>
      </c>
    </row>
    <row r="40" spans="5:13">
      <c r="E40" s="2" t="s">
        <v>269</v>
      </c>
      <c r="F40" s="4">
        <v>1300000000000</v>
      </c>
      <c r="G40" s="24">
        <v>300000000000</v>
      </c>
      <c r="H40" s="40">
        <v>10</v>
      </c>
      <c r="I40" s="1">
        <v>5200000000000</v>
      </c>
      <c r="J40" s="18">
        <v>2</v>
      </c>
      <c r="K40" s="23">
        <v>330000000000</v>
      </c>
      <c r="L40" s="39">
        <v>-1.3</v>
      </c>
      <c r="M40" s="40">
        <v>20</v>
      </c>
    </row>
    <row r="41" spans="5:13">
      <c r="E41" s="2" t="s">
        <v>270</v>
      </c>
      <c r="F41" s="4">
        <v>1300000000000</v>
      </c>
      <c r="G41" s="24">
        <v>300000000000</v>
      </c>
      <c r="H41" s="40">
        <v>10</v>
      </c>
      <c r="I41" s="21">
        <v>5300000000000</v>
      </c>
      <c r="J41" s="19">
        <v>3</v>
      </c>
      <c r="K41" s="23">
        <v>330000000000</v>
      </c>
      <c r="L41" s="39">
        <v>-1.3</v>
      </c>
      <c r="M41" s="40">
        <v>20</v>
      </c>
    </row>
    <row r="42" spans="5:13">
      <c r="E42" s="2" t="s">
        <v>271</v>
      </c>
      <c r="F42" s="4">
        <v>1300000000000</v>
      </c>
      <c r="G42" s="24">
        <v>300000000000</v>
      </c>
      <c r="H42" s="40">
        <v>10</v>
      </c>
      <c r="I42" s="26">
        <v>5400000000000</v>
      </c>
      <c r="J42" s="2">
        <v>1</v>
      </c>
      <c r="K42" s="23">
        <v>330000000000</v>
      </c>
      <c r="L42" s="39">
        <v>-1.3</v>
      </c>
      <c r="M42" s="40">
        <v>20</v>
      </c>
    </row>
    <row r="43" spans="5:13">
      <c r="E43" s="2" t="s">
        <v>272</v>
      </c>
      <c r="F43" s="4">
        <v>1300000000000</v>
      </c>
      <c r="G43" s="24">
        <v>300000000000</v>
      </c>
      <c r="H43" s="40">
        <v>10</v>
      </c>
      <c r="I43" s="1">
        <v>5200000000000</v>
      </c>
      <c r="J43" s="18">
        <v>2</v>
      </c>
      <c r="K43" s="25">
        <v>360000000000</v>
      </c>
      <c r="L43" s="39">
        <v>-1.3</v>
      </c>
      <c r="M43" s="40">
        <v>20</v>
      </c>
    </row>
    <row r="44" spans="5:13">
      <c r="E44" s="2" t="s">
        <v>273</v>
      </c>
      <c r="F44" s="4">
        <v>1400000000000</v>
      </c>
      <c r="G44" s="24">
        <v>300000000000</v>
      </c>
      <c r="H44" s="40">
        <v>10</v>
      </c>
      <c r="I44" s="21">
        <v>5300000000000</v>
      </c>
      <c r="J44" s="19">
        <v>3</v>
      </c>
      <c r="K44" s="25">
        <v>360000000000</v>
      </c>
      <c r="L44" s="39">
        <v>-1.3</v>
      </c>
      <c r="M44" s="40">
        <v>20</v>
      </c>
    </row>
    <row r="45" spans="5:13">
      <c r="E45" s="39" t="s">
        <v>275</v>
      </c>
      <c r="F45" s="1">
        <v>1100000000000</v>
      </c>
      <c r="G45" s="1">
        <v>200000000000</v>
      </c>
      <c r="H45" s="40">
        <v>10</v>
      </c>
      <c r="I45" s="1">
        <v>5200000000000</v>
      </c>
      <c r="J45" s="2">
        <v>1</v>
      </c>
      <c r="K45">
        <f>311000000000</f>
        <v>311000000000</v>
      </c>
      <c r="L45" s="2">
        <v>-1.1000000000000001</v>
      </c>
      <c r="M45" s="40">
        <v>20</v>
      </c>
    </row>
    <row r="46" spans="5:13">
      <c r="E46" s="39" t="s">
        <v>276</v>
      </c>
      <c r="F46" s="1">
        <v>1100000000000</v>
      </c>
      <c r="G46" s="1">
        <v>200000000000</v>
      </c>
      <c r="H46" s="40">
        <v>10</v>
      </c>
      <c r="I46" s="21">
        <v>5300000000000</v>
      </c>
      <c r="J46" s="18">
        <v>2</v>
      </c>
      <c r="K46">
        <f>311000000000</f>
        <v>311000000000</v>
      </c>
      <c r="L46" s="2">
        <v>-1.1000000000000001</v>
      </c>
      <c r="M46" s="40">
        <v>20</v>
      </c>
    </row>
    <row r="47" spans="5:13">
      <c r="E47" s="39" t="s">
        <v>277</v>
      </c>
      <c r="F47" s="1">
        <v>1100000000000</v>
      </c>
      <c r="G47" s="1">
        <v>200000000000</v>
      </c>
      <c r="H47" s="40">
        <v>10</v>
      </c>
      <c r="I47" s="26">
        <v>5400000000000</v>
      </c>
      <c r="J47">
        <v>3</v>
      </c>
      <c r="K47">
        <f>311000000000</f>
        <v>311000000000</v>
      </c>
      <c r="L47" s="17">
        <v>-1.2</v>
      </c>
      <c r="M47" s="40">
        <v>20</v>
      </c>
    </row>
    <row r="48" spans="5:13">
      <c r="E48" s="39" t="s">
        <v>278</v>
      </c>
      <c r="F48" s="4">
        <v>1200000000000</v>
      </c>
      <c r="G48" s="1">
        <v>200000000000</v>
      </c>
      <c r="H48" s="40">
        <v>10</v>
      </c>
      <c r="I48" s="1">
        <v>5200000000000</v>
      </c>
      <c r="J48" s="2">
        <v>1</v>
      </c>
      <c r="K48" s="23">
        <v>330000000000</v>
      </c>
      <c r="L48" s="17">
        <v>-1.2</v>
      </c>
      <c r="M48" s="40">
        <v>20</v>
      </c>
    </row>
    <row r="49" spans="5:13">
      <c r="E49" s="39" t="s">
        <v>279</v>
      </c>
      <c r="F49" s="4">
        <v>1200000000000</v>
      </c>
      <c r="G49" s="1">
        <v>200000000000</v>
      </c>
      <c r="H49" s="40">
        <v>10</v>
      </c>
      <c r="I49" s="21">
        <v>5300000000000</v>
      </c>
      <c r="J49" s="18">
        <v>2</v>
      </c>
      <c r="K49" s="23">
        <v>330000000000</v>
      </c>
      <c r="L49" s="17">
        <v>-1.2</v>
      </c>
      <c r="M49" s="40">
        <v>20</v>
      </c>
    </row>
    <row r="50" spans="5:13">
      <c r="E50" s="39" t="s">
        <v>280</v>
      </c>
      <c r="F50" s="4">
        <v>1200000000000</v>
      </c>
      <c r="G50" s="1">
        <v>200000000000</v>
      </c>
      <c r="H50" s="40">
        <v>10</v>
      </c>
      <c r="I50" s="26">
        <v>5400000000000</v>
      </c>
      <c r="J50" s="19">
        <v>3</v>
      </c>
      <c r="K50" s="23">
        <v>330000000000</v>
      </c>
      <c r="L50" s="17">
        <v>-1.2</v>
      </c>
      <c r="M50" s="40">
        <v>20</v>
      </c>
    </row>
    <row r="51" spans="5:13">
      <c r="E51" s="39" t="s">
        <v>281</v>
      </c>
      <c r="F51" s="4">
        <v>1200000000000</v>
      </c>
      <c r="G51" s="1">
        <v>200000000000</v>
      </c>
      <c r="H51" s="40">
        <v>10</v>
      </c>
      <c r="I51" s="22">
        <v>5400000000000</v>
      </c>
      <c r="J51" s="2">
        <v>1</v>
      </c>
      <c r="K51" s="23">
        <v>330000000000</v>
      </c>
      <c r="L51" s="39">
        <v>-1.3</v>
      </c>
      <c r="M51" s="40">
        <v>20</v>
      </c>
    </row>
    <row r="52" spans="5:13">
      <c r="E52" s="39" t="s">
        <v>282</v>
      </c>
      <c r="F52" s="4">
        <v>1300000000000</v>
      </c>
      <c r="G52" s="24">
        <v>300000000000</v>
      </c>
      <c r="H52" s="40">
        <v>10</v>
      </c>
      <c r="I52" s="1">
        <v>5200000000000</v>
      </c>
      <c r="J52" s="18">
        <v>2</v>
      </c>
      <c r="K52" s="23">
        <v>330000000000</v>
      </c>
      <c r="L52" s="39">
        <v>-1.3</v>
      </c>
      <c r="M52" s="40">
        <v>20</v>
      </c>
    </row>
    <row r="53" spans="5:13">
      <c r="E53" s="39" t="s">
        <v>283</v>
      </c>
      <c r="F53" s="4">
        <v>1300000000000</v>
      </c>
      <c r="G53" s="24">
        <v>300000000000</v>
      </c>
      <c r="H53" s="40">
        <v>10</v>
      </c>
      <c r="I53" s="21">
        <v>5300000000000</v>
      </c>
      <c r="J53" s="19">
        <v>3</v>
      </c>
      <c r="K53" s="23">
        <v>330000000000</v>
      </c>
      <c r="L53" s="39">
        <v>-1.3</v>
      </c>
      <c r="M53" s="40">
        <v>20</v>
      </c>
    </row>
    <row r="54" spans="5:13">
      <c r="E54" s="39" t="s">
        <v>284</v>
      </c>
      <c r="F54" s="4">
        <v>1300000000000</v>
      </c>
      <c r="G54" s="24">
        <v>300000000000</v>
      </c>
      <c r="H54" s="40">
        <v>10</v>
      </c>
      <c r="I54" s="26">
        <v>5400000000000</v>
      </c>
      <c r="J54" s="2">
        <v>1</v>
      </c>
      <c r="K54" s="23">
        <v>330000000000</v>
      </c>
      <c r="L54" s="39">
        <v>-1.3</v>
      </c>
      <c r="M54" s="40">
        <v>20</v>
      </c>
    </row>
    <row r="55" spans="5:13">
      <c r="E55" s="39" t="s">
        <v>285</v>
      </c>
      <c r="F55" s="4">
        <v>1300000000000</v>
      </c>
      <c r="G55" s="24">
        <v>300000000000</v>
      </c>
      <c r="H55" s="40">
        <v>10</v>
      </c>
      <c r="I55" s="1">
        <v>5200000000000</v>
      </c>
      <c r="J55" s="18">
        <v>2</v>
      </c>
      <c r="K55" s="25">
        <v>360000000000</v>
      </c>
      <c r="L55" s="39">
        <v>-1.3</v>
      </c>
      <c r="M55" s="40">
        <v>20</v>
      </c>
    </row>
    <row r="56" spans="5:13">
      <c r="E56" s="39" t="s">
        <v>286</v>
      </c>
      <c r="F56" s="4">
        <v>1400000000000</v>
      </c>
      <c r="G56" s="24">
        <v>300000000000</v>
      </c>
      <c r="H56" s="40">
        <v>10</v>
      </c>
      <c r="I56" s="21">
        <v>5300000000000</v>
      </c>
      <c r="J56" s="19">
        <v>3</v>
      </c>
      <c r="K56" s="25">
        <v>360000000000</v>
      </c>
      <c r="L56" s="39">
        <v>-1.3</v>
      </c>
      <c r="M56" s="40">
        <v>20</v>
      </c>
    </row>
    <row r="60" spans="5:13">
      <c r="E60" t="s">
        <v>287</v>
      </c>
    </row>
    <row r="61" spans="5:13">
      <c r="F61" t="s">
        <v>253</v>
      </c>
      <c r="G61" t="s">
        <v>253</v>
      </c>
      <c r="H61" t="s">
        <v>254</v>
      </c>
      <c r="I61" t="s">
        <v>254</v>
      </c>
      <c r="J61" t="s">
        <v>254</v>
      </c>
      <c r="K61" t="s">
        <v>254</v>
      </c>
      <c r="L61" t="s">
        <v>254</v>
      </c>
      <c r="M61" t="s">
        <v>253</v>
      </c>
    </row>
    <row r="62" spans="5:13">
      <c r="F62" t="s">
        <v>255</v>
      </c>
      <c r="G62" t="s">
        <v>256</v>
      </c>
      <c r="H62" t="s">
        <v>257</v>
      </c>
      <c r="I62" t="s">
        <v>255</v>
      </c>
      <c r="J62" t="s">
        <v>258</v>
      </c>
      <c r="K62" t="s">
        <v>259</v>
      </c>
      <c r="L62" t="s">
        <v>260</v>
      </c>
      <c r="M62" t="s">
        <v>261</v>
      </c>
    </row>
    <row r="63" spans="5:13">
      <c r="F63" t="s">
        <v>128</v>
      </c>
      <c r="G63" t="s">
        <v>128</v>
      </c>
      <c r="H63" t="s">
        <v>128</v>
      </c>
      <c r="I63" t="s">
        <v>129</v>
      </c>
      <c r="J63" t="s">
        <v>128</v>
      </c>
      <c r="K63" t="s">
        <v>129</v>
      </c>
      <c r="L63" t="s">
        <v>128</v>
      </c>
      <c r="M63" t="s">
        <v>128</v>
      </c>
    </row>
    <row r="64" spans="5:13">
      <c r="E64" s="2" t="s">
        <v>12</v>
      </c>
      <c r="F64" s="2" t="s">
        <v>103</v>
      </c>
      <c r="G64" s="2" t="s">
        <v>104</v>
      </c>
      <c r="H64" s="2" t="s">
        <v>105</v>
      </c>
      <c r="I64" s="2" t="s">
        <v>106</v>
      </c>
      <c r="J64" s="2" t="s">
        <v>107</v>
      </c>
      <c r="K64" s="2" t="s">
        <v>108</v>
      </c>
      <c r="L64" s="2" t="s">
        <v>109</v>
      </c>
      <c r="M64" s="2" t="s">
        <v>110</v>
      </c>
    </row>
    <row r="65" spans="5:13">
      <c r="E65" s="2" t="s">
        <v>145</v>
      </c>
      <c r="F65" s="1">
        <v>1100000000000</v>
      </c>
      <c r="G65" s="1">
        <v>200000000000</v>
      </c>
      <c r="H65" s="2">
        <v>1</v>
      </c>
      <c r="I65" s="1">
        <v>5200000000000</v>
      </c>
      <c r="J65" s="2">
        <v>1</v>
      </c>
      <c r="K65">
        <f>311000000000</f>
        <v>311000000000</v>
      </c>
      <c r="L65" s="2">
        <v>-1.1000000000000001</v>
      </c>
      <c r="M65" s="2">
        <v>2</v>
      </c>
    </row>
    <row r="66" spans="5:13">
      <c r="E66" s="2" t="s">
        <v>16</v>
      </c>
      <c r="F66" s="1">
        <v>1100000000000</v>
      </c>
      <c r="G66" s="1">
        <v>200000000000</v>
      </c>
      <c r="H66" s="2">
        <v>1</v>
      </c>
      <c r="I66" s="21">
        <v>5300000000000</v>
      </c>
      <c r="J66" s="18">
        <v>2</v>
      </c>
      <c r="K66">
        <f>311000000000</f>
        <v>311000000000</v>
      </c>
      <c r="L66" s="2">
        <v>-1.1000000000000001</v>
      </c>
      <c r="M66" s="2">
        <v>2</v>
      </c>
    </row>
    <row r="67" spans="5:13">
      <c r="E67" s="2" t="s">
        <v>17</v>
      </c>
      <c r="F67" s="1">
        <v>1100000000000</v>
      </c>
      <c r="G67" s="1">
        <v>200000000000</v>
      </c>
      <c r="H67" s="2">
        <v>1</v>
      </c>
      <c r="I67" s="26">
        <v>5400000000000</v>
      </c>
      <c r="J67">
        <v>3</v>
      </c>
      <c r="K67">
        <f>311000000000</f>
        <v>311000000000</v>
      </c>
      <c r="L67" s="17">
        <v>-1.2</v>
      </c>
      <c r="M67" s="2">
        <v>2</v>
      </c>
    </row>
    <row r="68" spans="5:13">
      <c r="E68" s="2" t="s">
        <v>288</v>
      </c>
      <c r="F68" s="4">
        <v>1200000000000</v>
      </c>
      <c r="G68" s="1">
        <v>200000000000</v>
      </c>
      <c r="H68" s="2">
        <v>1</v>
      </c>
      <c r="I68" s="1">
        <v>5200000000000</v>
      </c>
      <c r="J68" s="2">
        <v>1</v>
      </c>
      <c r="K68" s="23">
        <v>330000000000</v>
      </c>
      <c r="L68" s="17">
        <v>-1.2</v>
      </c>
      <c r="M68" s="2">
        <v>2</v>
      </c>
    </row>
    <row r="69" spans="5:13">
      <c r="E69" s="2" t="s">
        <v>266</v>
      </c>
      <c r="F69" s="4">
        <v>1200000000000</v>
      </c>
      <c r="G69" s="1">
        <v>200000000000</v>
      </c>
      <c r="H69" s="2">
        <v>1</v>
      </c>
      <c r="I69" s="21">
        <v>5300000000000</v>
      </c>
      <c r="J69" s="18">
        <v>2</v>
      </c>
      <c r="K69" s="23">
        <v>330000000000</v>
      </c>
      <c r="L69" s="17">
        <v>-1.2</v>
      </c>
      <c r="M69" s="2">
        <v>2</v>
      </c>
    </row>
    <row r="70" spans="5:13">
      <c r="E70" s="2" t="s">
        <v>267</v>
      </c>
      <c r="F70" s="4">
        <v>1200000000000</v>
      </c>
      <c r="G70" s="1">
        <v>200000000000</v>
      </c>
      <c r="H70" s="2">
        <v>1</v>
      </c>
      <c r="I70" s="26">
        <v>5400000000000</v>
      </c>
      <c r="J70" s="19">
        <v>3</v>
      </c>
      <c r="K70" s="23">
        <v>330000000000</v>
      </c>
      <c r="L70" s="17">
        <v>-1.2</v>
      </c>
      <c r="M70" s="2">
        <v>2</v>
      </c>
    </row>
    <row r="71" spans="5:13">
      <c r="E71" s="2" t="s">
        <v>268</v>
      </c>
      <c r="F71" s="4">
        <v>1200000000000</v>
      </c>
      <c r="G71" s="1">
        <v>200000000000</v>
      </c>
      <c r="H71" s="2">
        <v>1</v>
      </c>
      <c r="I71" s="22">
        <v>5400000000000</v>
      </c>
      <c r="J71" s="2">
        <v>1</v>
      </c>
      <c r="K71" s="23">
        <v>330000000000</v>
      </c>
      <c r="L71" s="39">
        <v>-1.3</v>
      </c>
      <c r="M71" s="2">
        <v>2</v>
      </c>
    </row>
    <row r="72" spans="5:13">
      <c r="E72" s="2" t="s">
        <v>269</v>
      </c>
      <c r="F72" s="4">
        <v>1300000000000</v>
      </c>
      <c r="G72" s="24">
        <v>300000000000</v>
      </c>
      <c r="H72" s="2">
        <v>1</v>
      </c>
      <c r="I72" s="1">
        <v>5200000000000</v>
      </c>
      <c r="J72" s="18">
        <v>2</v>
      </c>
      <c r="K72" s="23">
        <v>330000000000</v>
      </c>
      <c r="L72" s="39">
        <v>-1.3</v>
      </c>
      <c r="M72" s="2">
        <v>2</v>
      </c>
    </row>
    <row r="73" spans="5:13">
      <c r="E73" s="2" t="s">
        <v>270</v>
      </c>
      <c r="F73" s="4">
        <v>1300000000000</v>
      </c>
      <c r="G73" s="24">
        <v>300000000000</v>
      </c>
      <c r="H73" s="2">
        <v>1</v>
      </c>
      <c r="I73" s="21">
        <v>5300000000000</v>
      </c>
      <c r="J73" s="19">
        <v>3</v>
      </c>
      <c r="K73" s="23">
        <v>330000000000</v>
      </c>
      <c r="L73" s="39">
        <v>-1.3</v>
      </c>
      <c r="M73" s="2">
        <v>2</v>
      </c>
    </row>
    <row r="74" spans="5:13">
      <c r="E74" s="2" t="s">
        <v>271</v>
      </c>
      <c r="F74" s="4">
        <v>1300000000000</v>
      </c>
      <c r="G74" s="24">
        <v>300000000000</v>
      </c>
      <c r="H74" s="2">
        <v>1</v>
      </c>
      <c r="I74" s="26">
        <v>5400000000000</v>
      </c>
      <c r="J74" s="2">
        <v>1</v>
      </c>
      <c r="K74" s="23">
        <v>330000000000</v>
      </c>
      <c r="L74" s="39">
        <v>-1.3</v>
      </c>
      <c r="M74" s="2">
        <v>2</v>
      </c>
    </row>
    <row r="75" spans="5:13">
      <c r="E75" s="2" t="s">
        <v>289</v>
      </c>
      <c r="F75" s="4">
        <v>1300000000000</v>
      </c>
      <c r="G75" s="24">
        <v>300000000000</v>
      </c>
      <c r="H75" s="2">
        <v>1</v>
      </c>
      <c r="I75" s="1">
        <v>5200000000000</v>
      </c>
      <c r="J75" s="18">
        <v>2</v>
      </c>
      <c r="K75" s="25">
        <v>360000000000</v>
      </c>
      <c r="L75" s="39">
        <v>-1.3</v>
      </c>
      <c r="M75" s="2">
        <v>2</v>
      </c>
    </row>
    <row r="76" spans="5:13">
      <c r="E76" s="2" t="s">
        <v>290</v>
      </c>
      <c r="F76" s="4">
        <v>1400000000000</v>
      </c>
      <c r="G76" s="24">
        <v>300000000000</v>
      </c>
      <c r="H76" s="2">
        <v>1</v>
      </c>
      <c r="I76" s="21">
        <v>5300000000000</v>
      </c>
      <c r="J76" s="19">
        <v>3</v>
      </c>
      <c r="K76" s="25">
        <v>360000000000</v>
      </c>
      <c r="L76" s="39">
        <v>-1.3</v>
      </c>
      <c r="M76" s="2">
        <v>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グラフ作成</vt:lpstr>
      <vt:lpstr>条件表</vt:lpstr>
      <vt:lpstr>設定ファイル</vt:lpstr>
      <vt:lpstr>DataTable</vt:lpstr>
      <vt:lpstr>bck_DataTable_歯抜けなし</vt:lpstr>
      <vt:lpstr>サマリ</vt:lpstr>
      <vt:lpstr>BCK_サマリ</vt:lpstr>
      <vt:lpstr>散布図</vt:lpstr>
      <vt:lpstr>old_サマリ対象</vt:lpstr>
      <vt:lpstr>BCK_散布図</vt:lpstr>
      <vt:lpstr>例_散布図</vt:lpstr>
      <vt:lpstr>work_template</vt:lpstr>
      <vt:lpstr>work_jyoken</vt:lpstr>
      <vt:lpstr>work_summary</vt:lpstr>
      <vt:lpstr>work_graph</vt:lpstr>
      <vt:lpstr>work_scatter1</vt:lpstr>
      <vt:lpstr>例_グラフ背景塗りつぶし</vt:lpstr>
      <vt:lpstr>例_グラフ背景塗りつぶし_y範囲</vt:lpstr>
      <vt:lpstr>例_グラフ背景塗りつぶし_x範囲</vt:lpstr>
      <vt:lpstr>例_グラフ背景塗りつぶし_散布図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2021-09-04T10:40:41Z</dcterms:modified>
</cp:coreProperties>
</file>