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3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2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2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2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2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2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+xml"/>
  <Override PartName="/xl/charts/chart3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31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0.xml" ContentType="application/vnd.openxmlformats-officedocument.drawing+xml"/>
  <Override PartName="/xl/charts/chart3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3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FD4CF7C1-BF97-469A-AF45-3DDE613B5012}" xr6:coauthVersionLast="47" xr6:coauthVersionMax="47" xr10:uidLastSave="{00000000-0000-0000-0000-000000000000}"/>
  <bookViews>
    <workbookView xWindow="-120" yWindow="-120" windowWidth="24240" windowHeight="13140" firstSheet="4" activeTab="10" xr2:uid="{00000000-000D-0000-FFFF-FFFF00000000}"/>
  </bookViews>
  <sheets>
    <sheet name="グラフ作成" sheetId="6" r:id="rId1"/>
    <sheet name="設定ファイル" sheetId="51" r:id="rId2"/>
    <sheet name="条件表" sheetId="3" r:id="rId3"/>
    <sheet name="DataTable" sheetId="52" r:id="rId4"/>
    <sheet name="bck_DataTable_歯抜けなし" sheetId="59" r:id="rId5"/>
    <sheet name="DataTable_bck" sheetId="58" r:id="rId6"/>
    <sheet name="サマリ" sheetId="16" r:id="rId7"/>
    <sheet name="work_summary" sheetId="60" r:id="rId8"/>
    <sheet name="BCK_サマリ" sheetId="43" r:id="rId9"/>
    <sheet name="散布図" sheetId="8" r:id="rId10"/>
    <sheet name="サマリ対象" sheetId="54" r:id="rId11"/>
    <sheet name="BCK_散布図" sheetId="44" r:id="rId12"/>
    <sheet name="例_散布図" sheetId="4" r:id="rId13"/>
    <sheet name="work_template" sheetId="42" r:id="rId14"/>
    <sheet name="work_jyoken" sheetId="12" r:id="rId15"/>
    <sheet name="work_graph" sheetId="7" r:id="rId16"/>
    <sheet name="work_scatter1" sheetId="13" r:id="rId17"/>
    <sheet name="src_jyoken" sheetId="53" r:id="rId18"/>
    <sheet name="例_グラフ背景塗りつぶし" sheetId="55" r:id="rId19"/>
    <sheet name="例_グラフ背景塗りつぶし_y範囲" sheetId="56" r:id="rId20"/>
    <sheet name="例_グラフ背景塗りつぶし_x範囲" sheetId="57" r:id="rId21"/>
  </sheets>
  <functionGroups builtInGroupCount="19"/>
  <definedNames>
    <definedName name="_xlnm._FilterDatabase" localSheetId="4" hidden="1">bck_DataTable_歯抜けなし!$F$1:$Q$16</definedName>
    <definedName name="_xlnm._FilterDatabase" localSheetId="11" hidden="1">BCK_散布図!#REF!</definedName>
    <definedName name="_xlnm._FilterDatabase" localSheetId="3" hidden="1">DataTable!$F$1:$Q$12</definedName>
    <definedName name="_xlnm._FilterDatabase" localSheetId="5" hidden="1">DataTable_bck!$F$1:$Q$16</definedName>
    <definedName name="_xlnm._FilterDatabase" localSheetId="16" hidden="1">work_scatter1!#REF!</definedName>
    <definedName name="_xlnm._FilterDatabase" localSheetId="9" hidden="1">散布図!#REF!</definedName>
    <definedName name="テスト1">例_グラフ背景塗りつぶし!#REF!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59" l="1"/>
  <c r="D6" i="59"/>
  <c r="D5" i="59"/>
  <c r="D7" i="58"/>
  <c r="D6" i="58"/>
  <c r="D5" i="58"/>
  <c r="H6" i="53"/>
  <c r="H5" i="53"/>
  <c r="H4" i="53"/>
  <c r="D6" i="52"/>
  <c r="D5" i="5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666D1E18-9601-4E80-8921-8C7268E13FE1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<sst xmlns="http://schemas.openxmlformats.org/spreadsheetml/2006/main" count="1025" uniqueCount="250">
  <si>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</si>
  <si>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</si>
  <si>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</si>
  <si>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</si>
  <si>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</si>
  <si>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</si>
  <si>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</si>
  <si>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</si>
  <si>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</si>
  <si>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</si>
  <si>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</si>
  <si>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</si>
  <si>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</si>
  <si>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</si>
  <si>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</si>
  <si>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</si>
  <si>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</si>
  <si>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</si>
  <si>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</si>
  <si>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</si>
  <si>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</si>
  <si>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</si>
  <si>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</si>
  <si>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</si>
  <si>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</si>
  <si>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</si>
  <si>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</si>
  <si>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</si>
  <si>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</si>
  <si>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</si>
  <si>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</si>
  <si>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</si>
  <si>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</si>
  <si>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</si>
  <si>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</si>
  <si>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</si>
  <si>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</si>
  <si>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</si>
  <si>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</si>
  <si>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</si>
  <si>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</si>
  <si>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</si>
  <si>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</si>
  <si>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</si>
  <si>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</si>
  <si>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</si>
  <si>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</si>
  <si>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</si>
  <si>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</si>
  <si>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</si>
  <si>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</si>
  <si>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</si>
  <si>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</si>
  <si>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</si>
  <si>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</si>
  <si>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</si>
  <si>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</si>
  <si>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</si>
  <si>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</si>
  <si>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</si>
  <si>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</si>
  <si>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</si>
  <si>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</si>
  <si>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</si>
  <si>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</si>
  <si>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</si>
  <si>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</si>
  <si>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</si>
  <si>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</si>
  <si>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</si>
  <si>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</si>
  <si>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</si>
  <si>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</si>
  <si>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</si>
  <si>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</si>
  <si>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</si>
  <si>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</si>
  <si>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</si>
  <si>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</si>
  <si>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</si>
  <si>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</si>
  <si>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</si>
  <si>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</si>
  <si>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</si>
  <si>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</si>
  <si>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Qs02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</si>
  <si>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</si>
  <si>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</si>
  <si>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</si>
  <si>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</si>
  <si>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</si>
  <si>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</si>
  <si>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</si>
  <si>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</si>
  <si>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</si>
  <si>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</si>
  <si>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</si>
  <si>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</si>
  <si>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</si>
  <si>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</si>
  <si>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</si>
  <si>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</si>
  <si>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</si>
  <si>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</si>
  <si>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</si>
  <si>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</si>
  <si>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</si>
  <si>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</si>
  <si>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</si>
  <si>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</si>
  <si>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</si>
  <si>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</si>
  <si>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</si>
  <si>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CWL1_dose</t>
  </si>
  <si>
    <t>_</t>
  </si>
  <si>
    <t>レ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</si>
  <si>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</si>
  <si>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</si>
  <si>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</si>
  <si>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</si>
  <si>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</si>
  <si>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■散布図</t>
  </si>
  <si>
    <t>Y軸=toku1 :01_TGoff</t>
  </si>
  <si>
    <t>グルーピング</t>
  </si>
  <si>
    <t>X軸</t>
  </si>
  <si>
    <t>Y軸=tokuA :01_TGon</t>
  </si>
  <si>
    <t>Y軸=SRpot :01_TGoff</t>
  </si>
  <si>
    <t>Y軸=Qs02 :03_Qs</t>
  </si>
  <si>
    <t>e12</t>
    <phoneticPr fontId="1"/>
  </si>
  <si>
    <t>e11</t>
    <phoneticPr fontId="1"/>
  </si>
  <si>
    <t>C:\kuroda\work\00_TCAD\20210701_PDsim\第1要望_自動グラフ作成_Excelマクロ\デバッグ用_マクロインプットデータ\マクロインプットデータ_設定ファイル.xlsx</t>
    <phoneticPr fontId="1"/>
  </si>
  <si>
    <t>C:\kuroda\work\00_TCAD\20210701_PDsim\第1要望_自動グラフ作成_Excelマクロ\デバッグ用_マクロインプットデータ\マクロインプットデータ_speedData.xlsx</t>
    <phoneticPr fontId="1"/>
  </si>
  <si>
    <t>CWL1_dose =1.10E+12,matA_dose =2.00E+11,OFD_dose =3.11E+11,</t>
  </si>
  <si>
    <t>CWL1_dose =1.20E+12,matA_dose =2.00E+11,OFD_dose =3.11E+11,</t>
  </si>
  <si>
    <t>CWL1_dose =1.10E+12,matA_dose =2.00E+11,OFD_dose =3.30E+11,</t>
  </si>
  <si>
    <t>CWL1_dose =1.20E+12,matA_dose =2.00E+11,OFD_dose =3.30E+11,</t>
  </si>
  <si>
    <t>グラフ作成_散布図_X軸コンボボックス</t>
  </si>
  <si>
    <t>条件表2-2</t>
    <rPh sb="0" eb="2">
      <t>ジョウケン</t>
    </rPh>
    <rPh sb="2" eb="3">
      <t>ヒョウ</t>
    </rPh>
    <phoneticPr fontId="1"/>
  </si>
  <si>
    <t>imp01_w1</t>
    <phoneticPr fontId="1"/>
  </si>
  <si>
    <t>imp01_w2</t>
  </si>
  <si>
    <t>imp01_w3</t>
  </si>
  <si>
    <t>imp01_w4</t>
  </si>
  <si>
    <t>imp01_w5</t>
  </si>
  <si>
    <t>imp01_w6</t>
  </si>
  <si>
    <t>指定範囲 $B$3:$J$9</t>
    <phoneticPr fontId="1"/>
  </si>
  <si>
    <t>サマリグラフ作成するもの一覧を書いてください。</t>
  </si>
  <si>
    <t>デフォルトは、SPEED DataTableの特性全てですが、必要なものだけ残して、対象外項目は削除して下さい。</t>
  </si>
  <si>
    <t>03_Qs</t>
    <phoneticPr fontId="1"/>
  </si>
  <si>
    <t>Extract3</t>
    <phoneticPr fontId="1"/>
  </si>
  <si>
    <t>Extract4</t>
    <phoneticPr fontId="1"/>
  </si>
  <si>
    <t>Extract5</t>
    <phoneticPr fontId="1"/>
  </si>
  <si>
    <t>Extract6</t>
    <phoneticPr fontId="1"/>
  </si>
  <si>
    <t>Extract7</t>
    <phoneticPr fontId="1"/>
  </si>
  <si>
    <t>Extract10</t>
    <phoneticPr fontId="1"/>
  </si>
  <si>
    <t>Extract11</t>
    <phoneticPr fontId="1"/>
  </si>
  <si>
    <t>imp01</t>
    <phoneticPr fontId="1"/>
  </si>
  <si>
    <t>imp03</t>
    <phoneticPr fontId="1"/>
  </si>
  <si>
    <t>imp06</t>
    <phoneticPr fontId="1"/>
  </si>
  <si>
    <t>imp07</t>
    <phoneticPr fontId="1"/>
  </si>
  <si>
    <t>imp08</t>
    <phoneticPr fontId="1"/>
  </si>
  <si>
    <t>imp09</t>
    <phoneticPr fontId="1"/>
  </si>
  <si>
    <t>imp10</t>
    <phoneticPr fontId="1"/>
  </si>
  <si>
    <t>imp12</t>
    <phoneticPr fontId="1"/>
  </si>
  <si>
    <t>図の一部を塗りつぶす　（縦　横でそれぞれ設定が違う）</t>
    <rPh sb="0" eb="1">
      <t>ズ</t>
    </rPh>
    <rPh sb="2" eb="4">
      <t>イチブ</t>
    </rPh>
    <rPh sb="5" eb="6">
      <t>ヌ</t>
    </rPh>
    <rPh sb="12" eb="13">
      <t>タテ</t>
    </rPh>
    <rPh sb="14" eb="15">
      <t>ヨコ</t>
    </rPh>
    <rPh sb="20" eb="22">
      <t>セッテイ</t>
    </rPh>
    <rPh sb="23" eb="24">
      <t>チガ</t>
    </rPh>
    <phoneticPr fontId="1"/>
  </si>
  <si>
    <t>月</t>
    <rPh sb="0" eb="1">
      <t>ツキ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</si>
  <si>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</si>
  <si>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</si>
  <si>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</si>
  <si>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</si>
  <si>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</si>
  <si>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</si>
  <si>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</si>
  <si>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</si>
  <si>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</si>
  <si>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</si>
  <si>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</si>
  <si>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</si>
  <si>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売上金額</t>
    <rPh sb="0" eb="2">
      <t>ウリアゲ</t>
    </rPh>
    <rPh sb="2" eb="4">
      <t>キンガク</t>
    </rPh>
    <phoneticPr fontId="1"/>
  </si>
  <si>
    <t>・範囲塗りつぶし　表示</t>
    <rPh sb="1" eb="3">
      <t>ハンイ</t>
    </rPh>
    <rPh sb="3" eb="4">
      <t>ヌ</t>
    </rPh>
    <rPh sb="9" eb="11">
      <t>ヒョウジ</t>
    </rPh>
    <phoneticPr fontId="1"/>
  </si>
  <si>
    <t>参考  https://www.waenavi.com/entry/20190124/1548275841</t>
    <rPh sb="0" eb="2">
      <t>サンコウ</t>
    </rPh>
    <phoneticPr fontId="1"/>
  </si>
  <si>
    <t>←y軸　白部分</t>
    <rPh sb="2" eb="3">
      <t>ジク</t>
    </rPh>
    <rPh sb="4" eb="5">
      <t>シロ</t>
    </rPh>
    <rPh sb="5" eb="7">
      <t>ブブン</t>
    </rPh>
    <phoneticPr fontId="1"/>
  </si>
  <si>
    <t>←y軸　赤部分</t>
    <rPh sb="2" eb="3">
      <t>ジク</t>
    </rPh>
    <rPh sb="4" eb="7">
      <t>アカブブン</t>
    </rPh>
    <phoneticPr fontId="1"/>
  </si>
  <si>
    <t>積み上げグラフ</t>
    <rPh sb="0" eb="1">
      <t>ツ</t>
    </rPh>
    <rPh sb="2" eb="3">
      <t>ア</t>
    </rPh>
    <phoneticPr fontId="1"/>
  </si>
  <si>
    <t>全体を組み合わせグラフで作る</t>
    <rPh sb="0" eb="2">
      <t>ゼンタイ</t>
    </rPh>
    <rPh sb="3" eb="4">
      <t>ク</t>
    </rPh>
    <rPh sb="5" eb="6">
      <t>ア</t>
    </rPh>
    <rPh sb="12" eb="13">
      <t>ツク</t>
    </rPh>
    <phoneticPr fontId="1"/>
  </si>
  <si>
    <t>系列2 積み上げ縦棒（青）</t>
    <rPh sb="0" eb="2">
      <t>ケイレツ</t>
    </rPh>
    <rPh sb="4" eb="5">
      <t>ツ</t>
    </rPh>
    <rPh sb="6" eb="7">
      <t>ア</t>
    </rPh>
    <rPh sb="8" eb="10">
      <t>タテボウ</t>
    </rPh>
    <rPh sb="11" eb="12">
      <t>アオ</t>
    </rPh>
    <phoneticPr fontId="1"/>
  </si>
  <si>
    <t>系列1　折れ線グラフ</t>
    <rPh sb="0" eb="2">
      <t>ケイレツ</t>
    </rPh>
    <rPh sb="4" eb="5">
      <t>オ</t>
    </rPh>
    <rPh sb="6" eb="7">
      <t>セン</t>
    </rPh>
    <phoneticPr fontId="1"/>
  </si>
  <si>
    <t>系列3 積み上げ縦棒（赤）</t>
    <rPh sb="0" eb="2">
      <t>ケイレツ</t>
    </rPh>
    <rPh sb="4" eb="5">
      <t>ツ</t>
    </rPh>
    <rPh sb="6" eb="7">
      <t>ア</t>
    </rPh>
    <rPh sb="8" eb="10">
      <t>タテボウ</t>
    </rPh>
    <rPh sb="11" eb="12">
      <t>アカ</t>
    </rPh>
    <phoneticPr fontId="1"/>
  </si>
  <si>
    <t>nx5-21-b2.xlsx</t>
    <phoneticPr fontId="1"/>
  </si>
  <si>
    <t>X軸方向塗りつぶしの場合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</si>
  <si>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[1] データのimp01 ～データ最終セルまで選んで折れ線グラフ作成</t>
    <rPh sb="18" eb="20">
      <t>サイシュウ</t>
    </rPh>
    <rPh sb="24" eb="25">
      <t>エラ</t>
    </rPh>
    <rPh sb="27" eb="28">
      <t>オ</t>
    </rPh>
    <rPh sb="29" eb="30">
      <t>セン</t>
    </rPh>
    <rPh sb="33" eb="35">
      <t>サクセイ</t>
    </rPh>
    <phoneticPr fontId="1"/>
  </si>
  <si>
    <t>[3] グラフの部分選択 2軸にした塗りつぶし箇所クリックでデータ系列の書式メニューがでてくるので、①系列の「要素の間隔]を0%にする　②塗りつぶしの色変更、線なしにする</t>
    <rPh sb="8" eb="10">
      <t>ブブン</t>
    </rPh>
    <rPh sb="10" eb="12">
      <t>センタク</t>
    </rPh>
    <rPh sb="14" eb="15">
      <t>ジク</t>
    </rPh>
    <rPh sb="18" eb="19">
      <t>ヌ</t>
    </rPh>
    <rPh sb="23" eb="25">
      <t>カショ</t>
    </rPh>
    <rPh sb="33" eb="35">
      <t>ケイレツ</t>
    </rPh>
    <rPh sb="36" eb="38">
      <t>ショシキ</t>
    </rPh>
    <rPh sb="51" eb="53">
      <t>ケイレツ</t>
    </rPh>
    <rPh sb="55" eb="57">
      <t>ヨウソ</t>
    </rPh>
    <rPh sb="58" eb="60">
      <t>カンカク</t>
    </rPh>
    <rPh sb="69" eb="70">
      <t>ヌ</t>
    </rPh>
    <rPh sb="75" eb="76">
      <t>イロ</t>
    </rPh>
    <rPh sb="76" eb="78">
      <t>ヘンコウ</t>
    </rPh>
    <rPh sb="79" eb="80">
      <t>セン</t>
    </rPh>
    <phoneticPr fontId="1"/>
  </si>
  <si>
    <t>X軸範囲で塗りつぶす場合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</si>
  <si>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Y軸範囲で塗りつぶす場合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</si>
  <si>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[2] グラフ選択　→　右クリック　→グラフの種類の変更　→組み合わせ　1軸を1列目=折れ線グラフ、2軸を２列目＝縦棒グラフに設定する</t>
    <rPh sb="7" eb="9">
      <t>センタク</t>
    </rPh>
    <rPh sb="12" eb="13">
      <t>ミギ</t>
    </rPh>
    <rPh sb="23" eb="25">
      <t>シュルイ</t>
    </rPh>
    <rPh sb="26" eb="28">
      <t>ヘンコウ</t>
    </rPh>
    <rPh sb="30" eb="31">
      <t>ク</t>
    </rPh>
    <rPh sb="32" eb="33">
      <t>ア</t>
    </rPh>
    <rPh sb="37" eb="38">
      <t>ジク</t>
    </rPh>
    <rPh sb="40" eb="42">
      <t>レツメ</t>
    </rPh>
    <rPh sb="43" eb="44">
      <t>オ</t>
    </rPh>
    <rPh sb="45" eb="46">
      <t>セン</t>
    </rPh>
    <rPh sb="51" eb="52">
      <t>ジク</t>
    </rPh>
    <rPh sb="54" eb="55">
      <t>レツ</t>
    </rPh>
    <rPh sb="55" eb="56">
      <t>メ</t>
    </rPh>
    <rPh sb="57" eb="59">
      <t>タテボウ</t>
    </rPh>
    <rPh sb="63" eb="65">
      <t>セッテイ</t>
    </rPh>
    <phoneticPr fontId="1"/>
  </si>
  <si>
    <t>↓範囲2:　基準値B　に積み上げてなるように　コードでは (基準値 B-A)</t>
    <rPh sb="1" eb="3">
      <t>ハンイ</t>
    </rPh>
    <rPh sb="6" eb="9">
      <t>キジュンチ</t>
    </rPh>
    <rPh sb="12" eb="13">
      <t>ツ</t>
    </rPh>
    <rPh sb="14" eb="15">
      <t>ア</t>
    </rPh>
    <rPh sb="30" eb="33">
      <t>キジュンアタイ</t>
    </rPh>
    <phoneticPr fontId="1"/>
  </si>
  <si>
    <t>↓範囲3:　積み上げて、全特性の最大値になるように　コードでは（特性最大値 - 基準値B)</t>
    <rPh sb="1" eb="3">
      <t>ハンイ</t>
    </rPh>
    <rPh sb="6" eb="7">
      <t>ツ</t>
    </rPh>
    <rPh sb="8" eb="9">
      <t>ア</t>
    </rPh>
    <rPh sb="12" eb="13">
      <t>ゼン</t>
    </rPh>
    <rPh sb="13" eb="15">
      <t>トクセイ</t>
    </rPh>
    <rPh sb="16" eb="19">
      <t>サイダイチ</t>
    </rPh>
    <rPh sb="32" eb="34">
      <t>トクセイ</t>
    </rPh>
    <rPh sb="34" eb="37">
      <t>サイダイアタイ</t>
    </rPh>
    <rPh sb="40" eb="43">
      <t>キジュンアタイ</t>
    </rPh>
    <phoneticPr fontId="1"/>
  </si>
  <si>
    <t>Y軸方向塗りつぶしの場合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</si>
  <si>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　　色の塗りつぶしは、まず濃い色選んで、透明度90%にする。目盛りが見えるようにするため。</t>
    <rPh sb="2" eb="3">
      <t>イロ</t>
    </rPh>
    <rPh sb="4" eb="5">
      <t>ヌ</t>
    </rPh>
    <rPh sb="13" eb="14">
      <t>コ</t>
    </rPh>
    <rPh sb="15" eb="16">
      <t>イロ</t>
    </rPh>
    <rPh sb="16" eb="17">
      <t>エラ</t>
    </rPh>
    <rPh sb="20" eb="23">
      <t>トウメイド</t>
    </rPh>
    <rPh sb="30" eb="32">
      <t>メモ</t>
    </rPh>
    <rPh sb="34" eb="35">
      <t>ミ</t>
    </rPh>
    <phoneticPr fontId="1"/>
  </si>
  <si>
    <t>範囲1:　基準値A　全特性値の最小値より大きく、最大値より小さい範囲 コードでも基準値A</t>
    <rPh sb="0" eb="2">
      <t>ハンイ</t>
    </rPh>
    <rPh sb="5" eb="8">
      <t>キジュンチ</t>
    </rPh>
    <rPh sb="10" eb="11">
      <t>ゼン</t>
    </rPh>
    <rPh sb="11" eb="13">
      <t>トクセイ</t>
    </rPh>
    <rPh sb="13" eb="14">
      <t>アタイ</t>
    </rPh>
    <rPh sb="15" eb="18">
      <t>サイショウアタイ</t>
    </rPh>
    <rPh sb="20" eb="21">
      <t>オオ</t>
    </rPh>
    <rPh sb="24" eb="27">
      <t>サイダイアタイ</t>
    </rPh>
    <rPh sb="29" eb="30">
      <t>チイ</t>
    </rPh>
    <rPh sb="32" eb="34">
      <t>ハンイ</t>
    </rPh>
    <rPh sb="40" eb="43">
      <t>キジュンアタイ</t>
    </rPh>
    <phoneticPr fontId="1"/>
  </si>
  <si>
    <t>範囲2:　基準値B　に積み上げてなるように　コードでは (基準値 B-A)</t>
    <rPh sb="0" eb="2">
      <t>ハンイ</t>
    </rPh>
    <rPh sb="5" eb="8">
      <t>キジュンチ</t>
    </rPh>
    <rPh sb="11" eb="12">
      <t>ツ</t>
    </rPh>
    <rPh sb="13" eb="14">
      <t>ア</t>
    </rPh>
    <rPh sb="29" eb="32">
      <t>キジュンアタイ</t>
    </rPh>
    <phoneticPr fontId="1"/>
  </si>
  <si>
    <t>範囲3:　積み上げて、全特性の最大値になるように　コードでは（特性最大値 - 基準値B)</t>
    <rPh sb="0" eb="2">
      <t>ハンイ</t>
    </rPh>
    <rPh sb="5" eb="6">
      <t>ツ</t>
    </rPh>
    <rPh sb="7" eb="8">
      <t>ア</t>
    </rPh>
    <rPh sb="11" eb="12">
      <t>ゼン</t>
    </rPh>
    <rPh sb="12" eb="14">
      <t>トクセイ</t>
    </rPh>
    <rPh sb="15" eb="18">
      <t>サイダイチ</t>
    </rPh>
    <rPh sb="31" eb="33">
      <t>トクセイ</t>
    </rPh>
    <rPh sb="33" eb="36">
      <t>サイダイアタイ</t>
    </rPh>
    <rPh sb="39" eb="42">
      <t>キジュンアタイ</t>
    </rPh>
    <phoneticPr fontId="1"/>
  </si>
  <si>
    <t>↓塗り範囲1:　基準値A　全特性値の最小値より大きく、最大値より小さい範囲 コードでも基準値A</t>
    <rPh sb="1" eb="2">
      <t>ヌリ</t>
    </rPh>
    <rPh sb="3" eb="5">
      <t>ハンイ</t>
    </rPh>
    <rPh sb="8" eb="11">
      <t>キジュンチ</t>
    </rPh>
    <rPh sb="13" eb="14">
      <t>ゼン</t>
    </rPh>
    <rPh sb="14" eb="16">
      <t>トクセイ</t>
    </rPh>
    <rPh sb="16" eb="17">
      <t>アタイ</t>
    </rPh>
    <rPh sb="18" eb="21">
      <t>サイショウアタイ</t>
    </rPh>
    <rPh sb="23" eb="24">
      <t>オオ</t>
    </rPh>
    <rPh sb="27" eb="30">
      <t>サイダイアタイ</t>
    </rPh>
    <rPh sb="32" eb="33">
      <t>チイ</t>
    </rPh>
    <rPh sb="35" eb="37">
      <t>ハンイ</t>
    </rPh>
    <rPh sb="43" eb="46">
      <t>キジュンアタイ</t>
    </rPh>
    <phoneticPr fontId="1"/>
  </si>
  <si>
    <t>[4] 塗りつぶした後で、軸の最小値・最大値を設定して上下の余白をなくす</t>
    <rPh sb="4" eb="5">
      <t>ヌ</t>
    </rPh>
    <rPh sb="10" eb="11">
      <t>アト</t>
    </rPh>
    <rPh sb="13" eb="14">
      <t>ジク</t>
    </rPh>
    <rPh sb="15" eb="18">
      <t>サイショウアタイ</t>
    </rPh>
    <rPh sb="19" eb="22">
      <t>サイダイアタイ</t>
    </rPh>
    <rPh sb="23" eb="25">
      <t>セッテイ</t>
    </rPh>
    <rPh sb="27" eb="29">
      <t>ジョウゲ</t>
    </rPh>
    <rPh sb="30" eb="32">
      <t>ヨハク</t>
    </rPh>
    <phoneticPr fontId="1"/>
  </si>
  <si>
    <t>[1]～[4] X軸と同じだが、系列がクライテリアの範囲３か所あるので、1つずつ設定する。</t>
    <rPh sb="9" eb="10">
      <t>ジク</t>
    </rPh>
    <rPh sb="11" eb="12">
      <t>オナ</t>
    </rPh>
    <rPh sb="16" eb="18">
      <t>ケイレツ</t>
    </rPh>
    <rPh sb="26" eb="28">
      <t>ハンイ</t>
    </rPh>
    <rPh sb="30" eb="31">
      <t>ショ</t>
    </rPh>
    <rPh sb="40" eb="42">
      <t>セッテイ</t>
    </rPh>
    <phoneticPr fontId="1"/>
  </si>
  <si>
    <t>対数グラフ</t>
    <rPh sb="0" eb="2">
      <t>タイスウ</t>
    </rPh>
    <phoneticPr fontId="1"/>
  </si>
  <si>
    <t>X軸、Y軸　グラフ内の軸の数字の部分を選択して右クリック</t>
    <rPh sb="1" eb="2">
      <t>ジク</t>
    </rPh>
    <rPh sb="4" eb="5">
      <t>ジク</t>
    </rPh>
    <rPh sb="9" eb="10">
      <t>ナイ</t>
    </rPh>
    <rPh sb="11" eb="12">
      <t>ジク</t>
    </rPh>
    <rPh sb="13" eb="15">
      <t>スウジ</t>
    </rPh>
    <rPh sb="16" eb="18">
      <t>ブブン</t>
    </rPh>
    <rPh sb="19" eb="21">
      <t>センタク</t>
    </rPh>
    <rPh sb="23" eb="24">
      <t>ミギ</t>
    </rPh>
    <phoneticPr fontId="1"/>
  </si>
  <si>
    <t>→　軸の書式設定で対数表示する　をチェックONする</t>
    <rPh sb="2" eb="3">
      <t>ジク</t>
    </rPh>
    <rPh sb="4" eb="6">
      <t>ショシキ</t>
    </rPh>
    <rPh sb="6" eb="8">
      <t>セッテイ</t>
    </rPh>
    <rPh sb="9" eb="11">
      <t>タイスウ</t>
    </rPh>
    <rPh sb="11" eb="13">
      <t>ヒョウジ</t>
    </rPh>
    <phoneticPr fontId="1"/>
  </si>
  <si>
    <t>→　補助目盛線を表示する　をONにする</t>
    <rPh sb="2" eb="4">
      <t>ホジョ</t>
    </rPh>
    <rPh sb="4" eb="7">
      <t>メモリセン</t>
    </rPh>
    <rPh sb="8" eb="10">
      <t>ヒョウジ</t>
    </rPh>
    <phoneticPr fontId="1"/>
  </si>
  <si>
    <t>Field</t>
  </si>
  <si>
    <t>Unit</t>
  </si>
  <si>
    <t>x</t>
  </si>
  <si>
    <t>group</t>
  </si>
  <si>
    <t>01_TGoff_Extract7</t>
    <phoneticPr fontId="1"/>
  </si>
  <si>
    <t>01_TGon_Extract4</t>
    <phoneticPr fontId="1"/>
  </si>
  <si>
    <t>01_TGoff_Extract1</t>
    <phoneticPr fontId="1"/>
  </si>
  <si>
    <t>jyoken</t>
  </si>
  <si>
    <t>y_01_TGoff_Extract1</t>
  </si>
  <si>
    <t>y_01_TGon_Extract4</t>
  </si>
  <si>
    <t>y_01_TGoff_Extract7</t>
  </si>
  <si>
    <t>y_03_Qs_Extract2</t>
  </si>
  <si>
    <t>NAME</t>
  </si>
  <si>
    <t>filter</t>
  </si>
  <si>
    <t>Y軸=toku1 :01_TGoff_Extract1</t>
  </si>
  <si>
    <t>Y軸=tokuA :01_TGon_Extract4</t>
  </si>
  <si>
    <t>Y軸=SRpot :01_TGoff_Extract7</t>
  </si>
  <si>
    <t>Y軸=Qs02 :03_Qs_Extract2</t>
  </si>
  <si>
    <t>CWL1_dose =1.10E+12,OFD_dose =3.11E+11,</t>
  </si>
  <si>
    <t>CWL1_dose =1.20E+12,OFD_dose =3.11E+11,</t>
  </si>
  <si>
    <t>CWL1_dose =1.10E+12,OFD_dose =3.30E+11,</t>
  </si>
  <si>
    <t>CWL1_dose =1.20E+12,OFD_dose =3.30E+11,</t>
  </si>
  <si>
    <t>Mode</t>
  </si>
  <si>
    <t>PLT|EXT</t>
  </si>
  <si>
    <t>Name</t>
  </si>
  <si>
    <t>Object</t>
  </si>
  <si>
    <t>VMAX</t>
  </si>
  <si>
    <t>Extract1</t>
  </si>
  <si>
    <t>■サマリグラフ speed - DataTable</t>
  </si>
  <si>
    <t>tokuE</t>
  </si>
  <si>
    <t>tokuF</t>
  </si>
  <si>
    <t>TEST01</t>
  </si>
  <si>
    <t>ZTEST01</t>
  </si>
  <si>
    <t>Qs01</t>
  </si>
  <si>
    <t>VMIN</t>
  </si>
  <si>
    <t>NSADDLE</t>
  </si>
  <si>
    <t>XNADDLE</t>
  </si>
  <si>
    <t>ELECTRON</t>
  </si>
  <si>
    <t>03_Qs_Extract2</t>
    <phoneticPr fontId="1"/>
  </si>
  <si>
    <t>■[DEBUG] data_ary内容</t>
    <phoneticPr fontId="1"/>
  </si>
  <si>
    <t>■　サマリ対象</t>
  </si>
  <si>
    <t>グラフ作成対象が多すぎると,処理が失敗することがあります。（目安グラフ70個以上が限度ですが、PCメモリ状況次第)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</si>
</sst>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ＭＳ Ｐゴシック"/>
      <family val="2"/>
      <charset val="128"/>
    </font>
  </fonts>
  <fills count="1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39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7" fillId="0" borderId="0" xfId="1">
      <alignment vertical="center"/>
    </xf>
    <xf numFmtId="0" fontId="7" fillId="0" borderId="0" xfId="1" applyAlignment="1"/>
    <xf numFmtId="38" fontId="0" fillId="0" borderId="0" xfId="2" applyFont="1" applyAlignment="1"/>
    <xf numFmtId="0" fontId="0" fillId="0" borderId="0" xfId="0" applyNumberFormat="1"/>
    <xf numFmtId="0" fontId="0" fillId="0" borderId="0" xfId="0" applyBorder="1"/>
  </cellXfs>
  <cellStyles count="3">
    <cellStyle name="桁区切り 2" xfId="2" xr:uid="{DA12CB6D-DDE7-4956-875D-1BB5F4D5726C}"/>
    <cellStyle name="標準" xfId="0" builtinId="0"/>
    <cellStyle name="標準 2" xfId="1" xr:uid="{4315FEBE-AB6C-446E-BFF8-8F73EADAE494}"/>
  </cellStyles>
  <dxfs count="0"/>
  <tableStyles count="0" defaultTableStyle="TableStyleMedium2" defaultPivotStyle="PivotStyleLight16"/>
  <colors>
    <mruColors>
      <color rgb="FFFF00FF"/>
      <color rgb="FF000000"/>
      <color rgb="FFFFCCFF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 Extract1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サマリ!$B$5:$B$8</c:f>
              <c:strCache>
                <c:ptCount val="4"/>
                <c:pt idx="0">
                  <c:v>01_TGoff</c:v>
                </c:pt>
                <c:pt idx="1">
                  <c:v>Extract1</c:v>
                </c:pt>
                <c:pt idx="2">
                  <c:v>VMAX</c:v>
                </c:pt>
                <c:pt idx="3">
                  <c:v>toku1</c:v>
                </c:pt>
              </c:strCache>
            </c:strRef>
          </c:tx>
          <c:cat>
            <c:strRef>
              <c:f>サマリ!$A$9:$A$16</c:f>
              <c:strCache>
                <c:ptCount val="8"/>
                <c:pt idx="0">
                  <c:v>imp01</c:v>
                </c:pt>
                <c:pt idx="1">
                  <c:v>imp03</c:v>
                </c:pt>
                <c:pt idx="2">
                  <c:v>imp06</c:v>
                </c:pt>
                <c:pt idx="3">
                  <c:v>imp07</c:v>
                </c:pt>
                <c:pt idx="4">
                  <c:v>imp08</c:v>
                </c:pt>
                <c:pt idx="5">
                  <c:v>imp09</c:v>
                </c:pt>
                <c:pt idx="6">
                  <c:v>imp10</c:v>
                </c:pt>
                <c:pt idx="7">
                  <c:v>imp12</c:v>
                </c:pt>
              </c:strCache>
            </c:strRef>
          </c:cat>
          <c:val>
            <c:numRef>
              <c:f>サマリ!$B$9:$B$16</c:f>
              <c:numCache>
                <c:formatCode>General</c:formatCode>
                <c:ptCount val="8"/>
                <c:pt idx="0">
                  <c:v>0.64900000000000002</c:v>
                </c:pt>
                <c:pt idx="1">
                  <c:v>0.65300000000000002</c:v>
                </c:pt>
                <c:pt idx="2">
                  <c:v>0.65900000000000003</c:v>
                </c:pt>
                <c:pt idx="3">
                  <c:v>0.66100000000000003</c:v>
                </c:pt>
                <c:pt idx="4">
                  <c:v>0.66300000000000003</c:v>
                </c:pt>
                <c:pt idx="5">
                  <c:v>0.66500000000000004</c:v>
                </c:pt>
                <c:pt idx="6">
                  <c:v>0.66700000000000004</c:v>
                </c:pt>
                <c:pt idx="7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B3-48A8-927B-ACF6B90EB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toku2 Extract2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サマリ!$L$5:$L$8</c:f>
              <c:strCache>
                <c:ptCount val="4"/>
                <c:pt idx="0">
                  <c:v>01_TGon</c:v>
                </c:pt>
                <c:pt idx="1">
                  <c:v>Extract2</c:v>
                </c:pt>
                <c:pt idx="2">
                  <c:v>VMIN</c:v>
                </c:pt>
                <c:pt idx="3">
                  <c:v>toku2</c:v>
                </c:pt>
              </c:strCache>
            </c:strRef>
          </c:tx>
          <c:cat>
            <c:strRef>
              <c:f>サマリ!$K$9:$K$16</c:f>
              <c:strCache>
                <c:ptCount val="8"/>
                <c:pt idx="0">
                  <c:v>imp01</c:v>
                </c:pt>
                <c:pt idx="1">
                  <c:v>imp03</c:v>
                </c:pt>
                <c:pt idx="2">
                  <c:v>imp06</c:v>
                </c:pt>
                <c:pt idx="3">
                  <c:v>imp07</c:v>
                </c:pt>
                <c:pt idx="4">
                  <c:v>imp08</c:v>
                </c:pt>
                <c:pt idx="5">
                  <c:v>imp09</c:v>
                </c:pt>
                <c:pt idx="6">
                  <c:v>imp10</c:v>
                </c:pt>
                <c:pt idx="7">
                  <c:v>imp12</c:v>
                </c:pt>
              </c:strCache>
            </c:strRef>
          </c:cat>
          <c:val>
            <c:numRef>
              <c:f>サマリ!$L$9:$L$16</c:f>
              <c:numCache>
                <c:formatCode>General</c:formatCode>
                <c:ptCount val="8"/>
                <c:pt idx="0">
                  <c:v>6.1600000000000002E-2</c:v>
                </c:pt>
                <c:pt idx="1">
                  <c:v>6.2E-2</c:v>
                </c:pt>
                <c:pt idx="2">
                  <c:v>6.2600000000000003E-2</c:v>
                </c:pt>
                <c:pt idx="3">
                  <c:v>6.2799999999999995E-2</c:v>
                </c:pt>
                <c:pt idx="4">
                  <c:v>6.3E-2</c:v>
                </c:pt>
                <c:pt idx="5">
                  <c:v>6.3200000000000006E-2</c:v>
                </c:pt>
                <c:pt idx="6">
                  <c:v>6.3399999999999998E-2</c:v>
                </c:pt>
                <c:pt idx="7">
                  <c:v>6.3799999999999996E-2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C8-4742-9F39-B8877C1BD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toku3 Extract3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サマリ!$V$5:$V$8</c:f>
              <c:strCache>
                <c:ptCount val="4"/>
                <c:pt idx="0">
                  <c:v>01_TGon</c:v>
                </c:pt>
                <c:pt idx="1">
                  <c:v>Extract3</c:v>
                </c:pt>
                <c:pt idx="2">
                  <c:v>VMIN</c:v>
                </c:pt>
                <c:pt idx="3">
                  <c:v>toku3</c:v>
                </c:pt>
              </c:strCache>
            </c:strRef>
          </c:tx>
          <c:cat>
            <c:strRef>
              <c:f>サマリ!$U$9:$U$16</c:f>
              <c:strCache>
                <c:ptCount val="8"/>
                <c:pt idx="0">
                  <c:v>imp01</c:v>
                </c:pt>
                <c:pt idx="1">
                  <c:v>imp03</c:v>
                </c:pt>
                <c:pt idx="2">
                  <c:v>imp06</c:v>
                </c:pt>
                <c:pt idx="3">
                  <c:v>imp07</c:v>
                </c:pt>
                <c:pt idx="4">
                  <c:v>imp08</c:v>
                </c:pt>
                <c:pt idx="5">
                  <c:v>imp09</c:v>
                </c:pt>
                <c:pt idx="6">
                  <c:v>imp10</c:v>
                </c:pt>
                <c:pt idx="7">
                  <c:v>imp12</c:v>
                </c:pt>
              </c:strCache>
            </c:strRef>
          </c:cat>
          <c:val>
            <c:numRef>
              <c:f>サマリ!$V$9:$V$16</c:f>
              <c:numCache>
                <c:formatCode>General</c:formatCode>
                <c:ptCount val="8"/>
                <c:pt idx="0">
                  <c:v>0.23799999999999999</c:v>
                </c:pt>
                <c:pt idx="1">
                  <c:v>0.23799999999999999</c:v>
                </c:pt>
                <c:pt idx="2">
                  <c:v>0.23799999999999999</c:v>
                </c:pt>
                <c:pt idx="3">
                  <c:v>0.23799999999999999</c:v>
                </c:pt>
                <c:pt idx="4">
                  <c:v>0.23799999999999999</c:v>
                </c:pt>
                <c:pt idx="5">
                  <c:v>0.23799999999999999</c:v>
                </c:pt>
                <c:pt idx="6">
                  <c:v>0.23799999999999999</c:v>
                </c:pt>
                <c:pt idx="7">
                  <c:v>0.23799999999999999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8B-4C89-ADC4-36A8DF7A2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tokuA Extract4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サマリ!$AF$5:$AF$8</c:f>
              <c:strCache>
                <c:ptCount val="4"/>
                <c:pt idx="0">
                  <c:v>01_TGon</c:v>
                </c:pt>
                <c:pt idx="1">
                  <c:v>Extract4</c:v>
                </c:pt>
                <c:pt idx="2">
                  <c:v>NSADDLE</c:v>
                </c:pt>
                <c:pt idx="3">
                  <c:v>tokuA</c:v>
                </c:pt>
              </c:strCache>
            </c:strRef>
          </c:tx>
          <c:cat>
            <c:strRef>
              <c:f>サマリ!$AE$9:$AE$16</c:f>
              <c:strCache>
                <c:ptCount val="8"/>
                <c:pt idx="0">
                  <c:v>imp01</c:v>
                </c:pt>
                <c:pt idx="1">
                  <c:v>imp03</c:v>
                </c:pt>
                <c:pt idx="2">
                  <c:v>imp06</c:v>
                </c:pt>
                <c:pt idx="3">
                  <c:v>imp07</c:v>
                </c:pt>
                <c:pt idx="4">
                  <c:v>imp08</c:v>
                </c:pt>
                <c:pt idx="5">
                  <c:v>imp09</c:v>
                </c:pt>
                <c:pt idx="6">
                  <c:v>imp10</c:v>
                </c:pt>
                <c:pt idx="7">
                  <c:v>imp12</c:v>
                </c:pt>
              </c:strCache>
            </c:strRef>
          </c:cat>
          <c:val>
            <c:numRef>
              <c:f>サマリ!$AF$9:$AF$16</c:f>
              <c:numCache>
                <c:formatCode>General</c:formatCode>
                <c:ptCount val="8"/>
                <c:pt idx="0">
                  <c:v>2.33</c:v>
                </c:pt>
                <c:pt idx="1">
                  <c:v>2.13</c:v>
                </c:pt>
                <c:pt idx="2">
                  <c:v>1.83</c:v>
                </c:pt>
                <c:pt idx="3">
                  <c:v>1.73</c:v>
                </c:pt>
                <c:pt idx="4">
                  <c:v>1.63</c:v>
                </c:pt>
                <c:pt idx="5">
                  <c:v>1.53</c:v>
                </c:pt>
                <c:pt idx="6">
                  <c:v>1.43</c:v>
                </c:pt>
                <c:pt idx="7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F-4DA5-86D2-2A9C5DE96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tokuE Extract5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サマリ!$AP$5:$AP$8</c:f>
              <c:strCache>
                <c:ptCount val="4"/>
                <c:pt idx="0">
                  <c:v>01_TGon</c:v>
                </c:pt>
                <c:pt idx="1">
                  <c:v>Extract5</c:v>
                </c:pt>
                <c:pt idx="2">
                  <c:v>XNADDLE</c:v>
                </c:pt>
                <c:pt idx="3">
                  <c:v>tokuE</c:v>
                </c:pt>
              </c:strCache>
            </c:strRef>
          </c:tx>
          <c:cat>
            <c:strRef>
              <c:f>サマリ!$AO$9:$AO$16</c:f>
              <c:strCache>
                <c:ptCount val="8"/>
                <c:pt idx="0">
                  <c:v>imp01</c:v>
                </c:pt>
                <c:pt idx="1">
                  <c:v>imp03</c:v>
                </c:pt>
                <c:pt idx="2">
                  <c:v>imp06</c:v>
                </c:pt>
                <c:pt idx="3">
                  <c:v>imp07</c:v>
                </c:pt>
                <c:pt idx="4">
                  <c:v>imp08</c:v>
                </c:pt>
                <c:pt idx="5">
                  <c:v>imp09</c:v>
                </c:pt>
                <c:pt idx="6">
                  <c:v>imp10</c:v>
                </c:pt>
                <c:pt idx="7">
                  <c:v>imp12</c:v>
                </c:pt>
              </c:strCache>
            </c:strRef>
          </c:cat>
          <c:val>
            <c:numRef>
              <c:f>サマリ!$AP$9:$AP$16</c:f>
              <c:numCache>
                <c:formatCode>General</c:formatCode>
                <c:ptCount val="8"/>
                <c:pt idx="0">
                  <c:v>-27</c:v>
                </c:pt>
                <c:pt idx="1">
                  <c:v>-27</c:v>
                </c:pt>
                <c:pt idx="2">
                  <c:v>-27</c:v>
                </c:pt>
                <c:pt idx="3">
                  <c:v>-27</c:v>
                </c:pt>
                <c:pt idx="4">
                  <c:v>-27</c:v>
                </c:pt>
                <c:pt idx="5">
                  <c:v>-27</c:v>
                </c:pt>
                <c:pt idx="6">
                  <c:v>-27</c:v>
                </c:pt>
                <c:pt idx="7">
                  <c:v>-27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72-4E11-896E-0DC0A77D0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tokuF Extract6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サマリ!$AZ$5:$AZ$8</c:f>
              <c:strCache>
                <c:ptCount val="4"/>
                <c:pt idx="0">
                  <c:v>01_TGon</c:v>
                </c:pt>
                <c:pt idx="1">
                  <c:v>Extract6</c:v>
                </c:pt>
                <c:pt idx="2">
                  <c:v>ELECTRON</c:v>
                </c:pt>
                <c:pt idx="3">
                  <c:v>tokuF</c:v>
                </c:pt>
              </c:strCache>
            </c:strRef>
          </c:tx>
          <c:cat>
            <c:strRef>
              <c:f>サマリ!$AY$9:$AY$16</c:f>
              <c:strCache>
                <c:ptCount val="8"/>
                <c:pt idx="0">
                  <c:v>imp01</c:v>
                </c:pt>
                <c:pt idx="1">
                  <c:v>imp03</c:v>
                </c:pt>
                <c:pt idx="2">
                  <c:v>imp06</c:v>
                </c:pt>
                <c:pt idx="3">
                  <c:v>imp07</c:v>
                </c:pt>
                <c:pt idx="4">
                  <c:v>imp08</c:v>
                </c:pt>
                <c:pt idx="5">
                  <c:v>imp09</c:v>
                </c:pt>
                <c:pt idx="6">
                  <c:v>imp10</c:v>
                </c:pt>
                <c:pt idx="7">
                  <c:v>imp12</c:v>
                </c:pt>
              </c:strCache>
            </c:strRef>
          </c:cat>
          <c:val>
            <c:numRef>
              <c:f>サマリ!$AZ$9:$AZ$16</c:f>
              <c:numCache>
                <c:formatCode>General</c:formatCode>
                <c:ptCount val="8"/>
                <c:pt idx="0">
                  <c:v>1.1E-40</c:v>
                </c:pt>
                <c:pt idx="1">
                  <c:v>9.0000000000000002E-41</c:v>
                </c:pt>
                <c:pt idx="2">
                  <c:v>3.1000000000000001E-40</c:v>
                </c:pt>
                <c:pt idx="3">
                  <c:v>3.5000000000000002E-40</c:v>
                </c:pt>
                <c:pt idx="4">
                  <c:v>3.8999999999999998E-40</c:v>
                </c:pt>
                <c:pt idx="5">
                  <c:v>4.3000000000000003E-40</c:v>
                </c:pt>
                <c:pt idx="6">
                  <c:v>4.6999999999999999E-40</c:v>
                </c:pt>
                <c:pt idx="7">
                  <c:v>5.5E-40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C9-4B5E-B00F-E56928A09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SRpot Extract7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サマリ!$BJ$5:$BJ$8</c:f>
              <c:strCache>
                <c:ptCount val="4"/>
                <c:pt idx="0">
                  <c:v>01_TGoff</c:v>
                </c:pt>
                <c:pt idx="1">
                  <c:v>Extract7</c:v>
                </c:pt>
                <c:pt idx="2">
                  <c:v>VMAX</c:v>
                </c:pt>
                <c:pt idx="3">
                  <c:v>SRpot</c:v>
                </c:pt>
              </c:strCache>
            </c:strRef>
          </c:tx>
          <c:cat>
            <c:strRef>
              <c:f>サマリ!$BI$9:$BI$16</c:f>
              <c:strCache>
                <c:ptCount val="8"/>
                <c:pt idx="0">
                  <c:v>imp01</c:v>
                </c:pt>
                <c:pt idx="1">
                  <c:v>imp03</c:v>
                </c:pt>
                <c:pt idx="2">
                  <c:v>imp06</c:v>
                </c:pt>
                <c:pt idx="3">
                  <c:v>imp07</c:v>
                </c:pt>
                <c:pt idx="4">
                  <c:v>imp08</c:v>
                </c:pt>
                <c:pt idx="5">
                  <c:v>imp09</c:v>
                </c:pt>
                <c:pt idx="6">
                  <c:v>imp10</c:v>
                </c:pt>
                <c:pt idx="7">
                  <c:v>imp12</c:v>
                </c:pt>
              </c:strCache>
            </c:strRef>
          </c:cat>
          <c:val>
            <c:numRef>
              <c:f>サマリ!$BJ$9:$BJ$16</c:f>
              <c:numCache>
                <c:formatCode>General</c:formatCode>
                <c:ptCount val="8"/>
                <c:pt idx="0">
                  <c:v>2.29</c:v>
                </c:pt>
                <c:pt idx="1">
                  <c:v>2.33</c:v>
                </c:pt>
                <c:pt idx="2">
                  <c:v>2.39</c:v>
                </c:pt>
                <c:pt idx="3">
                  <c:v>2.41</c:v>
                </c:pt>
                <c:pt idx="4">
                  <c:v>2.4300000000000002</c:v>
                </c:pt>
                <c:pt idx="5">
                  <c:v>2.4500000000000002</c:v>
                </c:pt>
                <c:pt idx="6">
                  <c:v>2.4700000000000002</c:v>
                </c:pt>
                <c:pt idx="7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B7-4868-A7B4-52ADC702A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TEST01 Extract10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サマリ!$BT$5:$BT$8</c:f>
              <c:strCache>
                <c:ptCount val="4"/>
                <c:pt idx="0">
                  <c:v>01_TGoff</c:v>
                </c:pt>
                <c:pt idx="1">
                  <c:v>Extract10</c:v>
                </c:pt>
                <c:pt idx="2">
                  <c:v>VMAX</c:v>
                </c:pt>
                <c:pt idx="3">
                  <c:v>TEST01</c:v>
                </c:pt>
              </c:strCache>
            </c:strRef>
          </c:tx>
          <c:cat>
            <c:strRef>
              <c:f>サマリ!$BS$9:$BS$16</c:f>
              <c:strCache>
                <c:ptCount val="8"/>
                <c:pt idx="0">
                  <c:v>imp01</c:v>
                </c:pt>
                <c:pt idx="1">
                  <c:v>imp03</c:v>
                </c:pt>
                <c:pt idx="2">
                  <c:v>imp06</c:v>
                </c:pt>
                <c:pt idx="3">
                  <c:v>imp07</c:v>
                </c:pt>
                <c:pt idx="4">
                  <c:v>imp08</c:v>
                </c:pt>
                <c:pt idx="5">
                  <c:v>imp09</c:v>
                </c:pt>
                <c:pt idx="6">
                  <c:v>imp10</c:v>
                </c:pt>
                <c:pt idx="7">
                  <c:v>imp12</c:v>
                </c:pt>
              </c:strCache>
            </c:strRef>
          </c:cat>
          <c:val>
            <c:numRef>
              <c:f>サマリ!$BT$9:$BT$16</c:f>
              <c:numCache>
                <c:formatCode>General</c:formatCode>
                <c:ptCount val="8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B4-4E10-AD4C-2615FA0BA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ZTEST01 Extract11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サマリ!$CD$5:$CD$8</c:f>
              <c:strCache>
                <c:ptCount val="4"/>
                <c:pt idx="0">
                  <c:v>01_TGon</c:v>
                </c:pt>
                <c:pt idx="1">
                  <c:v>Extract11</c:v>
                </c:pt>
                <c:pt idx="2">
                  <c:v>VMAX</c:v>
                </c:pt>
                <c:pt idx="3">
                  <c:v>ZTEST01</c:v>
                </c:pt>
              </c:strCache>
            </c:strRef>
          </c:tx>
          <c:cat>
            <c:strRef>
              <c:f>サマリ!$CC$9:$CC$16</c:f>
              <c:strCache>
                <c:ptCount val="8"/>
                <c:pt idx="0">
                  <c:v>imp01</c:v>
                </c:pt>
                <c:pt idx="1">
                  <c:v>imp03</c:v>
                </c:pt>
                <c:pt idx="2">
                  <c:v>imp06</c:v>
                </c:pt>
                <c:pt idx="3">
                  <c:v>imp07</c:v>
                </c:pt>
                <c:pt idx="4">
                  <c:v>imp08</c:v>
                </c:pt>
                <c:pt idx="5">
                  <c:v>imp09</c:v>
                </c:pt>
                <c:pt idx="6">
                  <c:v>imp10</c:v>
                </c:pt>
                <c:pt idx="7">
                  <c:v>imp12</c:v>
                </c:pt>
              </c:strCache>
            </c:strRef>
          </c:cat>
          <c:val>
            <c:numRef>
              <c:f>サマリ!$CD$9:$CD$16</c:f>
              <c:numCache>
                <c:formatCode>General</c:formatCode>
                <c:ptCount val="8"/>
                <c:pt idx="0">
                  <c:v>0.19</c:v>
                </c:pt>
                <c:pt idx="1">
                  <c:v>0.17</c:v>
                </c:pt>
                <c:pt idx="2">
                  <c:v>0.14000000000000001</c:v>
                </c:pt>
                <c:pt idx="3">
                  <c:v>0.13</c:v>
                </c:pt>
                <c:pt idx="4">
                  <c:v>0.12</c:v>
                </c:pt>
                <c:pt idx="5">
                  <c:v>0.11</c:v>
                </c:pt>
                <c:pt idx="6">
                  <c:v>0.1</c:v>
                </c:pt>
                <c:pt idx="7">
                  <c:v>8.0000000000000099E-2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56-46AE-9312-69B93ECDD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Qs01 Extract1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サマリ!$B$20:$B$23</c:f>
              <c:strCache>
                <c:ptCount val="4"/>
                <c:pt idx="0">
                  <c:v>03_Qs</c:v>
                </c:pt>
                <c:pt idx="1">
                  <c:v>Extract1</c:v>
                </c:pt>
                <c:pt idx="2">
                  <c:v>03_Qs</c:v>
                </c:pt>
                <c:pt idx="3">
                  <c:v>Qs01</c:v>
                </c:pt>
              </c:strCache>
            </c:strRef>
          </c:tx>
          <c:cat>
            <c:strRef>
              <c:f>サマリ!$A$24:$A$31</c:f>
              <c:strCache>
                <c:ptCount val="8"/>
                <c:pt idx="0">
                  <c:v>imp01</c:v>
                </c:pt>
                <c:pt idx="1">
                  <c:v>imp03</c:v>
                </c:pt>
                <c:pt idx="2">
                  <c:v>imp06</c:v>
                </c:pt>
                <c:pt idx="3">
                  <c:v>imp07</c:v>
                </c:pt>
                <c:pt idx="4">
                  <c:v>imp08</c:v>
                </c:pt>
                <c:pt idx="5">
                  <c:v>imp09</c:v>
                </c:pt>
                <c:pt idx="6">
                  <c:v>imp10</c:v>
                </c:pt>
                <c:pt idx="7">
                  <c:v>imp12</c:v>
                </c:pt>
              </c:strCache>
            </c:strRef>
          </c:cat>
          <c:val>
            <c:numRef>
              <c:f>サマリ!$B$24:$B$31</c:f>
              <c:numCache>
                <c:formatCode>General</c:formatCode>
                <c:ptCount val="8"/>
                <c:pt idx="0">
                  <c:v>0.38</c:v>
                </c:pt>
                <c:pt idx="1">
                  <c:v>0.38</c:v>
                </c:pt>
                <c:pt idx="2">
                  <c:v>0.38</c:v>
                </c:pt>
                <c:pt idx="3">
                  <c:v>0.38</c:v>
                </c:pt>
                <c:pt idx="4">
                  <c:v>0.38</c:v>
                </c:pt>
                <c:pt idx="5">
                  <c:v>0.38</c:v>
                </c:pt>
                <c:pt idx="6">
                  <c:v>0.38</c:v>
                </c:pt>
                <c:pt idx="7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5-42CF-A9ED-97AF8487D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Qs02 Extract2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サマリ!$L$20:$L$23</c:f>
              <c:strCache>
                <c:ptCount val="4"/>
                <c:pt idx="0">
                  <c:v>03_Qs</c:v>
                </c:pt>
                <c:pt idx="1">
                  <c:v>Extract2</c:v>
                </c:pt>
                <c:pt idx="2">
                  <c:v>03_Qs</c:v>
                </c:pt>
                <c:pt idx="3">
                  <c:v>Qs02</c:v>
                </c:pt>
              </c:strCache>
            </c:strRef>
          </c:tx>
          <c:cat>
            <c:strRef>
              <c:f>サマリ!$K$24:$K$31</c:f>
              <c:strCache>
                <c:ptCount val="8"/>
                <c:pt idx="0">
                  <c:v>imp01</c:v>
                </c:pt>
                <c:pt idx="1">
                  <c:v>imp03</c:v>
                </c:pt>
                <c:pt idx="2">
                  <c:v>imp06</c:v>
                </c:pt>
                <c:pt idx="3">
                  <c:v>imp07</c:v>
                </c:pt>
                <c:pt idx="4">
                  <c:v>imp08</c:v>
                </c:pt>
                <c:pt idx="5">
                  <c:v>imp09</c:v>
                </c:pt>
                <c:pt idx="6">
                  <c:v>imp10</c:v>
                </c:pt>
                <c:pt idx="7">
                  <c:v>imp12</c:v>
                </c:pt>
              </c:strCache>
            </c:strRef>
          </c:cat>
          <c:val>
            <c:numRef>
              <c:f>サマリ!$L$24:$L$31</c:f>
              <c:numCache>
                <c:formatCode>General</c:formatCode>
                <c:ptCount val="8"/>
                <c:pt idx="0">
                  <c:v>0.4</c:v>
                </c:pt>
                <c:pt idx="1">
                  <c:v>0.39800000000000002</c:v>
                </c:pt>
                <c:pt idx="2">
                  <c:v>0.395666666666667</c:v>
                </c:pt>
                <c:pt idx="3">
                  <c:v>0.394666666666667</c:v>
                </c:pt>
                <c:pt idx="4">
                  <c:v>0.393666666666667</c:v>
                </c:pt>
                <c:pt idx="5">
                  <c:v>0.392666666666667</c:v>
                </c:pt>
                <c:pt idx="6">
                  <c:v>0.391666666666667</c:v>
                </c:pt>
                <c:pt idx="7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B8-413B-849A-3F374796A4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F-4FFF-BE7C-8266FBD57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BCK_サマリ!$C$1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BCK_サマリ!$C$1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BCK_サマリ!$C$2:$C$13</c:f>
              <c:numCache>
                <c:formatCode>0.00E+00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8-40F9-A7AC-61E7BCDDA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BCK_サマリ!$D$1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BCK_サマリ!$D$1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BCK_サマリ!$D$2:$D$13</c:f>
              <c:numCache>
                <c:formatCode>0.00E+00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97-41A5-9142-76446AFC1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BCK_サマリ!$E$1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BCK_サマリ!$E$1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BCK_サマリ!$E$2:$E$13</c:f>
              <c:numCache>
                <c:formatCode>0.00E+00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0-4E86-B3DE-D8B183EFB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散布図!$A$7:$A$10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散布図!$B$7:$B$10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FB-4B69-9D82-15715FCC8D21}"/>
            </c:ext>
          </c:extLst>
        </c:ser>
        <c:ser>
          <c:idx val="1"/>
          <c:order val="1"/>
          <c:tx>
            <c:strRef>
              <c:f>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散布図!$A$7:$A$10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散布図!$C$7:$C$10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FB-4B69-9D82-15715FCC8D21}"/>
            </c:ext>
          </c:extLst>
        </c:ser>
        <c:ser>
          <c:idx val="2"/>
          <c:order val="2"/>
          <c:tx>
            <c:strRef>
              <c:f>散布図!$D$6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散布図!$A$7:$A$10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散布図!$D$7:$D$10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FB-4B69-9D82-15715FCC8D21}"/>
            </c:ext>
          </c:extLst>
        </c:ser>
        <c:ser>
          <c:idx val="3"/>
          <c:order val="3"/>
          <c:tx>
            <c:strRef>
              <c:f>散布図!$E$6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散布図!$A$7:$A$10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散布図!$E$7:$E$10</c:f>
              <c:numCache>
                <c:formatCode>General</c:formatCode>
                <c:ptCount val="4"/>
                <c:pt idx="1">
                  <c:v>0.65900000000000003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FB-4B69-9D82-15715FCC8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:01_TGon_Extract4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散布図!$B$15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散布図!$A$16:$A$19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散布図!$B$16:$B$19</c:f>
              <c:numCache>
                <c:formatCode>General</c:formatCode>
                <c:ptCount val="4"/>
                <c:pt idx="0">
                  <c:v>2.33</c:v>
                </c:pt>
                <c:pt idx="1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15-4090-A193-AF8D090194EB}"/>
            </c:ext>
          </c:extLst>
        </c:ser>
        <c:ser>
          <c:idx val="1"/>
          <c:order val="1"/>
          <c:tx>
            <c:strRef>
              <c:f>散布図!$C$15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散布図!$A$16:$A$19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散布図!$C$16:$C$19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15-4090-A193-AF8D090194EB}"/>
            </c:ext>
          </c:extLst>
        </c:ser>
        <c:ser>
          <c:idx val="2"/>
          <c:order val="2"/>
          <c:tx>
            <c:strRef>
              <c:f>散布図!$D$15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散布図!$A$16:$A$19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散布図!$D$16:$D$19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15-4090-A193-AF8D090194EB}"/>
            </c:ext>
          </c:extLst>
        </c:ser>
        <c:ser>
          <c:idx val="3"/>
          <c:order val="3"/>
          <c:tx>
            <c:strRef>
              <c:f>散布図!$E$15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散布図!$A$16:$A$19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散布図!$E$16:$E$19</c:f>
              <c:numCache>
                <c:formatCode>General</c:formatCode>
                <c:ptCount val="4"/>
                <c:pt idx="1">
                  <c:v>1.83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915-4090-A193-AF8D09019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:01_TGoff_Extract7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散布図!$B$24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散布図!$A$25:$A$28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散布図!$B$25:$B$28</c:f>
              <c:numCache>
                <c:formatCode>General</c:formatCode>
                <c:ptCount val="4"/>
                <c:pt idx="0">
                  <c:v>2.29</c:v>
                </c:pt>
                <c:pt idx="1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C6-43FC-955F-DD6A9511587C}"/>
            </c:ext>
          </c:extLst>
        </c:ser>
        <c:ser>
          <c:idx val="1"/>
          <c:order val="1"/>
          <c:tx>
            <c:strRef>
              <c:f>散布図!$C$24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散布図!$A$25:$A$28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散布図!$C$25:$C$28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C6-43FC-955F-DD6A9511587C}"/>
            </c:ext>
          </c:extLst>
        </c:ser>
        <c:ser>
          <c:idx val="2"/>
          <c:order val="2"/>
          <c:tx>
            <c:strRef>
              <c:f>散布図!$D$24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散布図!$A$25:$A$28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散布図!$D$25:$D$28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C6-43FC-955F-DD6A9511587C}"/>
            </c:ext>
          </c:extLst>
        </c:ser>
        <c:ser>
          <c:idx val="3"/>
          <c:order val="3"/>
          <c:tx>
            <c:strRef>
              <c:f>散布図!$E$24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散布図!$A$25:$A$28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散布図!$E$25:$E$28</c:f>
              <c:numCache>
                <c:formatCode>General</c:formatCode>
                <c:ptCount val="4"/>
                <c:pt idx="1">
                  <c:v>2.39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9C6-43FC-955F-DD6A951158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:03_Qs_Extract2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散布図!$B$33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散布図!$A$34:$A$37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散布図!$B$34:$B$37</c:f>
              <c:numCache>
                <c:formatCode>General</c:formatCode>
                <c:ptCount val="4"/>
                <c:pt idx="0">
                  <c:v>0.4</c:v>
                </c:pt>
                <c:pt idx="1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1-40F9-BBF2-96F995786D3F}"/>
            </c:ext>
          </c:extLst>
        </c:ser>
        <c:ser>
          <c:idx val="1"/>
          <c:order val="1"/>
          <c:tx>
            <c:strRef>
              <c:f>散布図!$C$33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散布図!$A$34:$A$37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散布図!$C$34:$C$37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71-40F9-BBF2-96F995786D3F}"/>
            </c:ext>
          </c:extLst>
        </c:ser>
        <c:ser>
          <c:idx val="2"/>
          <c:order val="2"/>
          <c:tx>
            <c:strRef>
              <c:f>散布図!$D$33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散布図!$A$34:$A$37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散布図!$D$34:$D$37</c:f>
              <c:numCache>
                <c:formatCode>General</c:formatCode>
                <c:ptCount val="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71-40F9-BBF2-96F995786D3F}"/>
            </c:ext>
          </c:extLst>
        </c:ser>
        <c:ser>
          <c:idx val="3"/>
          <c:order val="3"/>
          <c:tx>
            <c:strRef>
              <c:f>散布図!$E$33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散布図!$A$34:$A$37</c:f>
              <c:numCache>
                <c:formatCode>General</c:formatCode>
                <c:ptCount val="4"/>
                <c:pt idx="0">
                  <c:v>5200000000000</c:v>
                </c:pt>
                <c:pt idx="1">
                  <c:v>5400000000000</c:v>
                </c:pt>
                <c:pt idx="2">
                  <c:v>5500000000000</c:v>
                </c:pt>
                <c:pt idx="3">
                  <c:v>5300000000000</c:v>
                </c:pt>
              </c:numCache>
            </c:numRef>
          </c:xVal>
          <c:yVal>
            <c:numRef>
              <c:f>散布図!$E$34:$E$37</c:f>
              <c:numCache>
                <c:formatCode>General</c:formatCode>
                <c:ptCount val="4"/>
                <c:pt idx="1">
                  <c:v>0.395666666666667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71-40F9-BBF2-96F995786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BCK_散布図!$B$6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9-4B09-B705-A344DEF3FAE1}"/>
            </c:ext>
          </c:extLst>
        </c:ser>
        <c:ser>
          <c:idx val="1"/>
          <c:order val="1"/>
          <c:tx>
            <c:strRef>
              <c:f>BCK_散布図!$C$6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B09-B705-A344DEF3FAE1}"/>
            </c:ext>
          </c:extLst>
        </c:ser>
        <c:ser>
          <c:idx val="2"/>
          <c:order val="2"/>
          <c:tx>
            <c:strRef>
              <c:f>BCK_散布図!$D$6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A9-4B09-B705-A344DEF3FAE1}"/>
            </c:ext>
          </c:extLst>
        </c:ser>
        <c:ser>
          <c:idx val="3"/>
          <c:order val="3"/>
          <c:tx>
            <c:strRef>
              <c:f>BCK_散布図!$E$6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A9-4B09-B705-A344DEF3F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BCK_散布図!$B$14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2-469F-86BE-FAE6F3C3F552}"/>
            </c:ext>
          </c:extLst>
        </c:ser>
        <c:ser>
          <c:idx val="1"/>
          <c:order val="1"/>
          <c:tx>
            <c:strRef>
              <c:f>BCK_散布図!$C$14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2-469F-86BE-FAE6F3C3F552}"/>
            </c:ext>
          </c:extLst>
        </c:ser>
        <c:ser>
          <c:idx val="2"/>
          <c:order val="2"/>
          <c:tx>
            <c:strRef>
              <c:f>BCK_散布図!$D$14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2-469F-86BE-FAE6F3C3F552}"/>
            </c:ext>
          </c:extLst>
        </c:ser>
        <c:ser>
          <c:idx val="3"/>
          <c:order val="3"/>
          <c:tx>
            <c:strRef>
              <c:f>BCK_散布図!$E$14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BCK_散布図!$E$15:$E$17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C2-469F-86BE-FAE6F3C3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BCK_散布図!$B$22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5-499A-B332-6669FCAF5656}"/>
            </c:ext>
          </c:extLst>
        </c:ser>
        <c:ser>
          <c:idx val="1"/>
          <c:order val="1"/>
          <c:tx>
            <c:strRef>
              <c:f>BCK_散布図!$C$22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95-499A-B332-6669FCAF5656}"/>
            </c:ext>
          </c:extLst>
        </c:ser>
        <c:ser>
          <c:idx val="2"/>
          <c:order val="2"/>
          <c:tx>
            <c:strRef>
              <c:f>BCK_散布図!$D$22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95-499A-B332-6669FCAF5656}"/>
            </c:ext>
          </c:extLst>
        </c:ser>
        <c:ser>
          <c:idx val="3"/>
          <c:order val="3"/>
          <c:tx>
            <c:strRef>
              <c:f>BCK_散布図!$E$22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BCK_散布図!$E$23:$E$25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95-499A-B332-6669FCAF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BCK_散布図!$B$30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1-4C2A-A880-DFCAF69ED4F7}"/>
            </c:ext>
          </c:extLst>
        </c:ser>
        <c:ser>
          <c:idx val="1"/>
          <c:order val="1"/>
          <c:tx>
            <c:strRef>
              <c:f>BCK_散布図!$C$30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61-4C2A-A880-DFCAF69ED4F7}"/>
            </c:ext>
          </c:extLst>
        </c:ser>
        <c:ser>
          <c:idx val="2"/>
          <c:order val="2"/>
          <c:tx>
            <c:strRef>
              <c:f>BCK_散布図!$D$30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61-4C2A-A880-DFCAF69ED4F7}"/>
            </c:ext>
          </c:extLst>
        </c:ser>
        <c:ser>
          <c:idx val="3"/>
          <c:order val="3"/>
          <c:tx>
            <c:strRef>
              <c:f>BCK_散布図!$E$30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BCK_散布図!$E$31:$E$33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1-4C2A-A880-DFCAF69ED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685892388451444"/>
          <c:y val="0.30291666666666667"/>
          <c:w val="0.83869663167104114"/>
          <c:h val="0.58563247302420529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196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628592"/>
        <c:axId val="5786240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28592"/>
        <c:axId val="578624000"/>
      </c:lineChart>
      <c:catAx>
        <c:axId val="5786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4000"/>
        <c:crosses val="autoZero"/>
        <c:auto val="1"/>
        <c:lblAlgn val="ctr"/>
        <c:lblOffset val="100"/>
        <c:noMultiLvlLbl val="0"/>
      </c:catAx>
      <c:valAx>
        <c:axId val="578624000"/>
        <c:scaling>
          <c:orientation val="minMax"/>
          <c:max val="0.67500000000000016"/>
          <c:min val="0.645000000000000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例_グラフ背景塗りつぶし!$V$4:$V$13</c:f>
              <c:numCache>
                <c:formatCode>0.00E+00</c:formatCode>
                <c:ptCount val="1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0-44CC-8F0D-292DCF8296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例_グラフ背景塗りつぶし!$W$4:$W$13</c:f>
              <c:numCache>
                <c:formatCode>0.00E+00</c:formatCode>
                <c:ptCount val="1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0-44CC-8F0D-292DCF829647}"/>
            </c:ext>
          </c:extLst>
        </c:ser>
        <c:ser>
          <c:idx val="3"/>
          <c:order val="3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例_グラフ背景塗りつぶし!$X$4:$X$13</c:f>
              <c:numCache>
                <c:formatCode>0.00E+00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9370944"/>
        <c:axId val="5693716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例_グラフ背景塗りつぶし!$U$4:$U$13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70944"/>
        <c:axId val="569371600"/>
      </c:lineChart>
      <c:catAx>
        <c:axId val="5693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1600"/>
        <c:crosses val="autoZero"/>
        <c:auto val="1"/>
        <c:lblAlgn val="ctr"/>
        <c:lblOffset val="100"/>
        <c:noMultiLvlLbl val="0"/>
      </c:catAx>
      <c:valAx>
        <c:axId val="569371600"/>
        <c:scaling>
          <c:orientation val="minMax"/>
          <c:max val="0.675000000000000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例_グラフ背景塗りつぶし!$F$10</c:f>
              <c:strCache>
                <c:ptCount val="1"/>
                <c:pt idx="0">
                  <c:v>toku1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例_グラフ背景塗りつぶし!$E$11:$E$18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</c:strCache>
            </c:strRef>
          </c:cat>
          <c:val>
            <c:numRef>
              <c:f>例_グラフ背景塗りつぶし!$F$11:$F$18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40</c:v>
                </c:pt>
                <c:pt idx="3">
                  <c:v>900</c:v>
                </c:pt>
                <c:pt idx="4">
                  <c:v>160</c:v>
                </c:pt>
                <c:pt idx="5">
                  <c:v>300</c:v>
                </c:pt>
                <c:pt idx="6">
                  <c:v>1000</c:v>
                </c:pt>
                <c:pt idx="7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2-4122-8B93-767B1263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65024"/>
        <c:axId val="552665352"/>
      </c:lineChart>
      <c:catAx>
        <c:axId val="5526650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352"/>
        <c:crosses val="autoZero"/>
        <c:auto val="1"/>
        <c:lblAlgn val="ctr"/>
        <c:lblOffset val="100"/>
        <c:noMultiLvlLbl val="0"/>
      </c:catAx>
      <c:valAx>
        <c:axId val="5526653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F-4318-B5F6-E6DB935AE926}"/>
            </c:ext>
          </c:extLst>
        </c:ser>
        <c:ser>
          <c:idx val="2"/>
          <c:order val="2"/>
          <c:spPr>
            <a:solidFill>
              <a:schemeClr val="accent5">
                <a:lumMod val="60000"/>
                <a:lumOff val="40000"/>
                <a:alpha val="18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F-4318-B5F6-E6DB935AE926}"/>
            </c:ext>
          </c:extLst>
        </c:ser>
        <c:ser>
          <c:idx val="3"/>
          <c:order val="3"/>
          <c:spPr>
            <a:solidFill>
              <a:schemeClr val="accent2">
                <a:alpha val="17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29632"/>
        <c:axId val="80232532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29632"/>
        <c:axId val="802325320"/>
      </c:lineChart>
      <c:catAx>
        <c:axId val="8023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5320"/>
        <c:crosses val="autoZero"/>
        <c:auto val="1"/>
        <c:lblAlgn val="ctr"/>
        <c:lblOffset val="100"/>
        <c:noMultiLvlLbl val="0"/>
      </c:catAx>
      <c:valAx>
        <c:axId val="80232532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5-4D6A-BDCC-1C69662E1AD2}"/>
            </c:ext>
          </c:extLst>
        </c:ser>
        <c:ser>
          <c:idx val="2"/>
          <c:order val="2"/>
          <c:spPr>
            <a:solidFill>
              <a:schemeClr val="accent1">
                <a:alpha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5-4D6A-BDCC-1C69662E1AD2}"/>
            </c:ext>
          </c:extLst>
        </c:ser>
        <c:ser>
          <c:idx val="3"/>
          <c:order val="3"/>
          <c:spPr>
            <a:solidFill>
              <a:schemeClr val="accent2">
                <a:alpha val="29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32376"/>
        <c:axId val="802332768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097432"/>
        <c:axId val="735103704"/>
      </c:barChart>
      <c:catAx>
        <c:axId val="80233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768"/>
        <c:crosses val="autoZero"/>
        <c:auto val="1"/>
        <c:lblAlgn val="ctr"/>
        <c:lblOffset val="100"/>
        <c:noMultiLvlLbl val="0"/>
      </c:catAx>
      <c:valAx>
        <c:axId val="80233276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376"/>
        <c:crosses val="autoZero"/>
        <c:crossBetween val="between"/>
      </c:valAx>
      <c:valAx>
        <c:axId val="735103704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5097432"/>
        <c:crosses val="max"/>
        <c:crossBetween val="between"/>
      </c:valAx>
      <c:catAx>
        <c:axId val="735097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5103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4F6-A19A-B0245B9636D4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29312"/>
        <c:axId val="74163048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29312"/>
        <c:axId val="741630488"/>
      </c:lineChart>
      <c:catAx>
        <c:axId val="741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0488"/>
        <c:crosses val="autoZero"/>
        <c:auto val="1"/>
        <c:lblAlgn val="ctr"/>
        <c:lblOffset val="100"/>
        <c:noMultiLvlLbl val="0"/>
      </c:catAx>
      <c:valAx>
        <c:axId val="7416304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0-4EE4-883D-C240DB788473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39896"/>
        <c:axId val="741631272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858944"/>
        <c:axId val="738857768"/>
      </c:barChart>
      <c:catAx>
        <c:axId val="7416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1272"/>
        <c:crosses val="autoZero"/>
        <c:auto val="1"/>
        <c:lblAlgn val="ctr"/>
        <c:lblOffset val="100"/>
        <c:noMultiLvlLbl val="0"/>
      </c:catAx>
      <c:valAx>
        <c:axId val="741631272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9896"/>
        <c:crosses val="autoZero"/>
        <c:crossBetween val="between"/>
      </c:valAx>
      <c:valAx>
        <c:axId val="73885776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8858944"/>
        <c:crosses val="max"/>
        <c:crossBetween val="between"/>
      </c:valAx>
      <c:catAx>
        <c:axId val="73885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857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6" noThreeD="1" sel="2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image" Target="../media/image1.emf"/><Relationship Id="rId4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1</xdr:row>
          <xdr:rowOff>9525</xdr:rowOff>
        </xdr:from>
        <xdr:to>
          <xdr:col>17</xdr:col>
          <xdr:colOff>76200</xdr:colOff>
          <xdr:row>2</xdr:row>
          <xdr:rowOff>57150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DEBUG_散布図グラフ作成実行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8</xdr:col>
      <xdr:colOff>457200</xdr:colOff>
      <xdr:row>16</xdr:row>
      <xdr:rowOff>123825</xdr:rowOff>
    </xdr:to>
    <xdr:graphicFrame macro="">
      <xdr:nvGraphicFramePr>
        <xdr:cNvPr id="82" name="graph_sumary_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5</xdr:row>
      <xdr:rowOff>0</xdr:rowOff>
    </xdr:from>
    <xdr:to>
      <xdr:col>18</xdr:col>
      <xdr:colOff>457200</xdr:colOff>
      <xdr:row>16</xdr:row>
      <xdr:rowOff>123825</xdr:rowOff>
    </xdr:to>
    <xdr:graphicFrame macro="">
      <xdr:nvGraphicFramePr>
        <xdr:cNvPr id="83" name="graph_sumary_2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5</xdr:row>
      <xdr:rowOff>0</xdr:rowOff>
    </xdr:from>
    <xdr:to>
      <xdr:col>28</xdr:col>
      <xdr:colOff>457200</xdr:colOff>
      <xdr:row>16</xdr:row>
      <xdr:rowOff>123825</xdr:rowOff>
    </xdr:to>
    <xdr:graphicFrame macro="">
      <xdr:nvGraphicFramePr>
        <xdr:cNvPr id="84" name="graph_sumary_3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0</xdr:colOff>
      <xdr:row>5</xdr:row>
      <xdr:rowOff>0</xdr:rowOff>
    </xdr:from>
    <xdr:to>
      <xdr:col>38</xdr:col>
      <xdr:colOff>457200</xdr:colOff>
      <xdr:row>16</xdr:row>
      <xdr:rowOff>123825</xdr:rowOff>
    </xdr:to>
    <xdr:graphicFrame macro="">
      <xdr:nvGraphicFramePr>
        <xdr:cNvPr id="85" name="graph_sumary_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0</xdr:colOff>
      <xdr:row>5</xdr:row>
      <xdr:rowOff>0</xdr:rowOff>
    </xdr:from>
    <xdr:to>
      <xdr:col>48</xdr:col>
      <xdr:colOff>457200</xdr:colOff>
      <xdr:row>16</xdr:row>
      <xdr:rowOff>123825</xdr:rowOff>
    </xdr:to>
    <xdr:graphicFrame macro="">
      <xdr:nvGraphicFramePr>
        <xdr:cNvPr id="86" name="graph_sumary_5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52</xdr:col>
      <xdr:colOff>0</xdr:colOff>
      <xdr:row>5</xdr:row>
      <xdr:rowOff>0</xdr:rowOff>
    </xdr:from>
    <xdr:to>
      <xdr:col>58</xdr:col>
      <xdr:colOff>457200</xdr:colOff>
      <xdr:row>16</xdr:row>
      <xdr:rowOff>123825</xdr:rowOff>
    </xdr:to>
    <xdr:graphicFrame macro="">
      <xdr:nvGraphicFramePr>
        <xdr:cNvPr id="87" name="graph_sumary_6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62</xdr:col>
      <xdr:colOff>0</xdr:colOff>
      <xdr:row>5</xdr:row>
      <xdr:rowOff>0</xdr:rowOff>
    </xdr:from>
    <xdr:to>
      <xdr:col>68</xdr:col>
      <xdr:colOff>457200</xdr:colOff>
      <xdr:row>16</xdr:row>
      <xdr:rowOff>123825</xdr:rowOff>
    </xdr:to>
    <xdr:graphicFrame macro="">
      <xdr:nvGraphicFramePr>
        <xdr:cNvPr id="88" name="graph_sumary_7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72</xdr:col>
      <xdr:colOff>0</xdr:colOff>
      <xdr:row>5</xdr:row>
      <xdr:rowOff>0</xdr:rowOff>
    </xdr:from>
    <xdr:to>
      <xdr:col>78</xdr:col>
      <xdr:colOff>457200</xdr:colOff>
      <xdr:row>16</xdr:row>
      <xdr:rowOff>123825</xdr:rowOff>
    </xdr:to>
    <xdr:graphicFrame macro="">
      <xdr:nvGraphicFramePr>
        <xdr:cNvPr id="89" name="graph_sumary_8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82</xdr:col>
      <xdr:colOff>0</xdr:colOff>
      <xdr:row>5</xdr:row>
      <xdr:rowOff>0</xdr:rowOff>
    </xdr:from>
    <xdr:to>
      <xdr:col>88</xdr:col>
      <xdr:colOff>457201</xdr:colOff>
      <xdr:row>16</xdr:row>
      <xdr:rowOff>123825</xdr:rowOff>
    </xdr:to>
    <xdr:graphicFrame macro="">
      <xdr:nvGraphicFramePr>
        <xdr:cNvPr id="90" name="graph_sumary_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20</xdr:row>
      <xdr:rowOff>0</xdr:rowOff>
    </xdr:from>
    <xdr:to>
      <xdr:col>8</xdr:col>
      <xdr:colOff>457200</xdr:colOff>
      <xdr:row>31</xdr:row>
      <xdr:rowOff>123825</xdr:rowOff>
    </xdr:to>
    <xdr:graphicFrame macro="">
      <xdr:nvGraphicFramePr>
        <xdr:cNvPr id="91" name="graph_sumary_1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20</xdr:row>
      <xdr:rowOff>0</xdr:rowOff>
    </xdr:from>
    <xdr:to>
      <xdr:col>18</xdr:col>
      <xdr:colOff>457200</xdr:colOff>
      <xdr:row>31</xdr:row>
      <xdr:rowOff>123825</xdr:rowOff>
    </xdr:to>
    <xdr:graphicFrame macro="">
      <xdr:nvGraphicFramePr>
        <xdr:cNvPr id="92" name="graph_sumary_1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2" name="sim_graph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9</xdr:col>
      <xdr:colOff>519112</xdr:colOff>
      <xdr:row>19</xdr:row>
      <xdr:rowOff>47625</xdr:rowOff>
    </xdr:to>
    <xdr:graphicFrame macro="">
      <xdr:nvGraphicFramePr>
        <xdr:cNvPr id="10" name="graph_scatter_0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0</xdr:rowOff>
    </xdr:from>
    <xdr:to>
      <xdr:col>9</xdr:col>
      <xdr:colOff>519112</xdr:colOff>
      <xdr:row>28</xdr:row>
      <xdr:rowOff>47625</xdr:rowOff>
    </xdr:to>
    <xdr:graphicFrame macro="">
      <xdr:nvGraphicFramePr>
        <xdr:cNvPr id="11" name="graph_scatter_2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43</xdr:row>
      <xdr:rowOff>47625</xdr:rowOff>
    </xdr:to>
    <xdr:graphicFrame macro="">
      <xdr:nvGraphicFramePr>
        <xdr:cNvPr id="12" name="graph_scatter_3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9</xdr:col>
      <xdr:colOff>519112</xdr:colOff>
      <xdr:row>58</xdr:row>
      <xdr:rowOff>47625</xdr:rowOff>
    </xdr:to>
    <xdr:graphicFrame macro="">
      <xdr:nvGraphicFramePr>
        <xdr:cNvPr id="13" name="graph_scatter_4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6</xdr:row>
      <xdr:rowOff>47625</xdr:rowOff>
    </xdr:from>
    <xdr:to>
      <xdr:col>12</xdr:col>
      <xdr:colOff>52387</xdr:colOff>
      <xdr:row>16</xdr:row>
      <xdr:rowOff>57150</xdr:rowOff>
    </xdr:to>
    <xdr:graphicFrame macro="">
      <xdr:nvGraphicFramePr>
        <xdr:cNvPr id="2" name="graph_scatter_010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7</xdr:row>
      <xdr:rowOff>228600</xdr:rowOff>
    </xdr:from>
    <xdr:to>
      <xdr:col>2</xdr:col>
      <xdr:colOff>542925</xdr:colOff>
      <xdr:row>22</xdr:row>
      <xdr:rowOff>95250</xdr:rowOff>
    </xdr:to>
    <xdr:pic>
      <xdr:nvPicPr>
        <xdr:cNvPr id="19" name="テスト1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304800" y="2895600"/>
          <a:ext cx="34385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557212</xdr:colOff>
      <xdr:row>13</xdr:row>
      <xdr:rowOff>204787</xdr:rowOff>
    </xdr:from>
    <xdr:to>
      <xdr:col>17</xdr:col>
      <xdr:colOff>328612</xdr:colOff>
      <xdr:row>25</xdr:row>
      <xdr:rowOff>90487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319087</xdr:colOff>
      <xdr:row>13</xdr:row>
      <xdr:rowOff>176212</xdr:rowOff>
    </xdr:from>
    <xdr:to>
      <xdr:col>25</xdr:col>
      <xdr:colOff>90487</xdr:colOff>
      <xdr:row>25</xdr:row>
      <xdr:rowOff>61912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584055</xdr:colOff>
      <xdr:row>19</xdr:row>
      <xdr:rowOff>236395</xdr:rowOff>
    </xdr:from>
    <xdr:to>
      <xdr:col>9</xdr:col>
      <xdr:colOff>172748</xdr:colOff>
      <xdr:row>31</xdr:row>
      <xdr:rowOff>117765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457200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11</xdr:row>
      <xdr:rowOff>0</xdr:rowOff>
    </xdr:from>
    <xdr:to>
      <xdr:col>13</xdr:col>
      <xdr:colOff>390525</xdr:colOff>
      <xdr:row>27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95250</xdr:rowOff>
    </xdr:from>
    <xdr:to>
      <xdr:col>6</xdr:col>
      <xdr:colOff>457200</xdr:colOff>
      <xdr:row>21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5</xdr:row>
      <xdr:rowOff>95250</xdr:rowOff>
    </xdr:from>
    <xdr:to>
      <xdr:col>13</xdr:col>
      <xdr:colOff>390525</xdr:colOff>
      <xdr:row>21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V20"/>
  <sheetViews>
    <sheetView workbookViewId="0">
      <selection activeCell="J14" sqref="J14:S17"/>
    </sheetView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16384" width="9" style="13"/>
  </cols>
  <sheetData>
    <row r="1" spans="1:22" ht="33">
      <c r="A1" s="15" t="s">
        <v>64</v>
      </c>
    </row>
    <row r="2" spans="1:22">
      <c r="A2" s="13" t="s">
        <v>65</v>
      </c>
    </row>
    <row r="5" spans="1:22">
      <c r="E5" s="13" t="s">
        <v>144</v>
      </c>
    </row>
    <row r="7" spans="1:22">
      <c r="E7" s="13" t="s">
        <v>130</v>
      </c>
    </row>
    <row r="9" spans="1:22">
      <c r="E9" s="13" t="s">
        <v>131</v>
      </c>
    </row>
    <row r="10" spans="1:22" ht="45.75" customHeight="1"/>
    <row r="11" spans="1:22" ht="45.75" customHeight="1"/>
    <row r="12" spans="1:22">
      <c r="A12" s="29" t="s">
        <v>63</v>
      </c>
      <c r="B12" s="28"/>
      <c r="C12" s="28"/>
      <c r="D12" s="28" t="s">
        <v>66</v>
      </c>
      <c r="E12" s="28"/>
      <c r="F12" s="28"/>
      <c r="I12" s="28"/>
      <c r="J12" s="28" t="s">
        <v>112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2">
      <c r="A13" s="28"/>
      <c r="B13" s="28"/>
      <c r="C13" s="28"/>
      <c r="D13" s="28" t="s">
        <v>111</v>
      </c>
      <c r="E13" s="28"/>
      <c r="F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2">
      <c r="A14" s="28"/>
      <c r="B14" s="28">
        <v>2</v>
      </c>
      <c r="C14" s="28"/>
      <c r="D14" s="30"/>
      <c r="E14" s="31" t="s">
        <v>0</v>
      </c>
      <c r="F14" s="31" t="s">
        <v>117</v>
      </c>
      <c r="G14" s="28"/>
      <c r="H14" s="28"/>
      <c r="J14" s="16" t="s">
        <v>114</v>
      </c>
      <c r="K14" s="16" t="s">
        <v>113</v>
      </c>
      <c r="L14" s="16" t="s">
        <v>114</v>
      </c>
      <c r="M14" s="16" t="s">
        <v>106</v>
      </c>
      <c r="N14" s="16" t="s">
        <v>114</v>
      </c>
      <c r="O14" s="16" t="s">
        <v>107</v>
      </c>
      <c r="P14" s="16" t="s">
        <v>114</v>
      </c>
      <c r="Q14" s="16" t="s">
        <v>108</v>
      </c>
      <c r="R14" s="16" t="s">
        <v>114</v>
      </c>
      <c r="S14" s="16" t="s">
        <v>109</v>
      </c>
      <c r="V14" s="28"/>
    </row>
    <row r="15" spans="1:22">
      <c r="A15" s="28"/>
      <c r="B15" s="28"/>
      <c r="C15" s="28"/>
      <c r="D15" s="14" t="s">
        <v>115</v>
      </c>
      <c r="E15" s="14" t="s">
        <v>84</v>
      </c>
      <c r="F15" s="14" t="s">
        <v>24</v>
      </c>
      <c r="G15" s="28"/>
      <c r="H15" s="28"/>
      <c r="J15" s="14"/>
      <c r="K15" s="14">
        <v>1100000000000</v>
      </c>
      <c r="L15" s="14"/>
      <c r="M15" s="14">
        <v>5200000000000</v>
      </c>
      <c r="N15" s="14"/>
      <c r="O15" s="14">
        <v>1</v>
      </c>
      <c r="P15" s="14"/>
      <c r="Q15" s="14">
        <v>311000000000</v>
      </c>
      <c r="R15" s="14"/>
      <c r="S15" s="14">
        <v>-1.1000000000000001</v>
      </c>
      <c r="V15" s="28"/>
    </row>
    <row r="16" spans="1:22">
      <c r="A16" s="28"/>
      <c r="B16" s="28"/>
      <c r="C16" s="28"/>
      <c r="D16" s="14" t="s">
        <v>115</v>
      </c>
      <c r="E16" s="14" t="s">
        <v>68</v>
      </c>
      <c r="F16" s="14" t="s">
        <v>24</v>
      </c>
      <c r="G16" s="28"/>
      <c r="H16" s="28"/>
      <c r="J16" s="14"/>
      <c r="K16" s="14">
        <v>1200000000000</v>
      </c>
      <c r="L16" s="14"/>
      <c r="M16" s="14">
        <v>5300000000000</v>
      </c>
      <c r="N16" s="14"/>
      <c r="O16" s="14">
        <v>2</v>
      </c>
      <c r="P16" s="14"/>
      <c r="Q16" s="14">
        <v>330000000000</v>
      </c>
      <c r="R16" s="14"/>
      <c r="S16" s="14">
        <v>-1.2</v>
      </c>
      <c r="V16" s="28"/>
    </row>
    <row r="17" spans="1:22">
      <c r="A17" s="28"/>
      <c r="B17" s="28"/>
      <c r="C17" s="28"/>
      <c r="D17" s="14" t="s">
        <v>115</v>
      </c>
      <c r="E17" s="14" t="s">
        <v>70</v>
      </c>
      <c r="F17" s="14" t="s">
        <v>24</v>
      </c>
      <c r="G17" s="28"/>
      <c r="H17" s="28"/>
      <c r="J17" s="14"/>
      <c r="K17" s="14"/>
      <c r="L17" s="14"/>
      <c r="M17" s="14">
        <v>5400000000000</v>
      </c>
      <c r="N17" s="14"/>
      <c r="O17" s="14">
        <v>3</v>
      </c>
      <c r="P17" s="14"/>
      <c r="Q17" s="14"/>
      <c r="R17" s="14"/>
      <c r="S17" s="14"/>
      <c r="V17" s="28"/>
    </row>
    <row r="18" spans="1:22">
      <c r="A18" s="28"/>
      <c r="B18" s="28"/>
      <c r="C18" s="28"/>
      <c r="D18" s="14" t="s">
        <v>115</v>
      </c>
      <c r="E18" s="14" t="s">
        <v>74</v>
      </c>
      <c r="F18" s="14" t="s">
        <v>118</v>
      </c>
      <c r="G18" s="28"/>
      <c r="H18" s="28"/>
      <c r="V18" s="28"/>
    </row>
    <row r="19" spans="1:22">
      <c r="A19" s="28"/>
      <c r="B19" s="28"/>
      <c r="C19" s="28"/>
      <c r="D19" s="14" t="s">
        <v>115</v>
      </c>
      <c r="E19" s="14" t="s">
        <v>85</v>
      </c>
      <c r="F19" s="14" t="s">
        <v>119</v>
      </c>
      <c r="G19" s="28"/>
      <c r="H19" s="28"/>
      <c r="V19" s="28"/>
    </row>
    <row r="20" spans="1:22">
      <c r="G20" s="28"/>
      <c r="H20" s="28"/>
      <c r="V20" s="28"/>
    </row>
  </sheetData>
  <phoneticPr fontId="1"/>
  <dataValidations count="1">
    <dataValidation type="list" allowBlank="1" showInputMessage="1" showErrorMessage="1" sqref="D14:D19 J15:J18 L15:L18 N15:N18 P15:P18 R15:R18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Button_DEBUG_jikkou_scatter_Click">
                <anchor moveWithCells="1" sizeWithCells="1">
                  <from>
                    <xdr:col>12</xdr:col>
                    <xdr:colOff>171450</xdr:colOff>
                    <xdr:row>1</xdr:row>
                    <xdr:rowOff>9525</xdr:rowOff>
                  </from>
                  <to>
                    <xdr:col>17</xdr:col>
                    <xdr:colOff>76200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7A9B-8C5F-47F8-B7DA-BBA43ED381AC}">
  <sheetPr codeName="Sheet11">
    <tabColor theme="9"/>
  </sheetPr>
  <dimension ref="A1:H6"/>
  <sheetViews>
    <sheetView workbookViewId="0">
      <selection activeCell="H15" sqref="H15"/>
    </sheetView>
  </sheetViews>
  <sheetFormatPr defaultRowHeight="18.75"/>
  <cols>
    <col min="1" max="1" width="13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117</v>
      </c>
      <c r="F1" s="2" t="s">
        <v>8</v>
      </c>
      <c r="G1" s="2" t="s">
        <v>9</v>
      </c>
      <c r="H1" s="2" t="s">
        <v>10</v>
      </c>
    </row>
    <row r="2" spans="1:8">
      <c r="A2" t="s">
        <v>5</v>
      </c>
      <c r="B2" s="2">
        <v>2.02</v>
      </c>
      <c r="C2" s="2" t="s">
        <v>4</v>
      </c>
      <c r="D2" s="2"/>
      <c r="E2" s="2" t="s">
        <v>30</v>
      </c>
      <c r="F2" s="2"/>
      <c r="G2" s="2"/>
      <c r="H2" s="2"/>
    </row>
    <row r="3" spans="1:8">
      <c r="A3" t="s">
        <v>69</v>
      </c>
      <c r="B3" s="2"/>
      <c r="C3" s="2" t="s">
        <v>6</v>
      </c>
      <c r="D3" s="2">
        <v>-0.16200000000000001</v>
      </c>
      <c r="E3" s="2" t="s">
        <v>24</v>
      </c>
      <c r="F3" s="2"/>
      <c r="G3" s="2"/>
      <c r="H3" s="2"/>
    </row>
    <row r="4" spans="1:8">
      <c r="A4" t="s">
        <v>71</v>
      </c>
      <c r="B4" s="2">
        <v>-0.33</v>
      </c>
      <c r="C4" s="2" t="s">
        <v>6</v>
      </c>
      <c r="D4" s="2"/>
      <c r="E4" s="2" t="s">
        <v>24</v>
      </c>
      <c r="F4" s="2"/>
      <c r="G4" s="2"/>
      <c r="H4" s="2"/>
    </row>
    <row r="5" spans="1:8">
      <c r="A5" t="s">
        <v>7</v>
      </c>
      <c r="B5" s="2"/>
      <c r="C5" s="2" t="s">
        <v>6</v>
      </c>
      <c r="D5" s="3">
        <v>802000000000</v>
      </c>
      <c r="E5" s="2" t="s">
        <v>118</v>
      </c>
      <c r="F5" s="2"/>
      <c r="G5" s="2"/>
      <c r="H5" s="2" t="s">
        <v>11</v>
      </c>
    </row>
    <row r="6" spans="1:8">
      <c r="A6" t="s">
        <v>83</v>
      </c>
      <c r="B6" s="2"/>
      <c r="C6" s="2" t="s">
        <v>6</v>
      </c>
      <c r="D6" s="2">
        <v>20000</v>
      </c>
      <c r="E6" s="2" t="s">
        <v>119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I7"/>
  <sheetViews>
    <sheetView workbookViewId="0">
      <selection sqref="A1:I7"/>
    </sheetView>
  </sheetViews>
  <sheetFormatPr defaultRowHeight="18.75"/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138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139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140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141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142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143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B2F43-6F7C-4715-8051-3524AB55651D}">
  <sheetPr codeName="Sheet17">
    <tabColor theme="9"/>
  </sheetPr>
  <dimension ref="A1:Q12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17</v>
      </c>
      <c r="B6" s="1">
        <v>1100000000000</v>
      </c>
      <c r="C6" s="1">
        <v>200000000000</v>
      </c>
      <c r="D6">
        <f>311000000000</f>
        <v>311000000000</v>
      </c>
      <c r="E6" s="26">
        <v>5400000000000</v>
      </c>
      <c r="F6" t="s">
        <v>17</v>
      </c>
      <c r="G6" s="1">
        <v>0.65300000000000002</v>
      </c>
      <c r="H6" s="1">
        <v>6.2E-2</v>
      </c>
      <c r="I6" s="1">
        <v>0.23799999999999999</v>
      </c>
      <c r="J6" s="1">
        <v>2.13</v>
      </c>
      <c r="K6" s="1">
        <v>-27</v>
      </c>
      <c r="L6" s="1">
        <v>9.0000000000000002E-41</v>
      </c>
      <c r="M6" s="1">
        <v>2.33</v>
      </c>
      <c r="N6" s="1">
        <v>0.2</v>
      </c>
      <c r="O6" s="1">
        <v>0.17</v>
      </c>
      <c r="P6" s="1">
        <v>0.38</v>
      </c>
      <c r="Q6" s="1">
        <v>0.39800000000000002</v>
      </c>
    </row>
    <row r="7" spans="1:17">
      <c r="A7" t="s">
        <v>20</v>
      </c>
      <c r="B7" s="4">
        <v>1200000000000</v>
      </c>
      <c r="C7" s="1">
        <v>200000000000</v>
      </c>
      <c r="D7" s="23">
        <v>330000000000</v>
      </c>
      <c r="E7" s="26">
        <v>5400000000000</v>
      </c>
      <c r="F7" t="s">
        <v>20</v>
      </c>
      <c r="G7" s="1">
        <v>0.65900000000000003</v>
      </c>
      <c r="H7" s="1">
        <v>6.2600000000000003E-2</v>
      </c>
      <c r="I7" s="1">
        <v>0.23799999999999999</v>
      </c>
      <c r="J7" s="1">
        <v>1.83</v>
      </c>
      <c r="K7" s="1">
        <v>-27</v>
      </c>
      <c r="L7" s="1">
        <v>3.1000000000000001E-40</v>
      </c>
      <c r="M7" s="1">
        <v>2.39</v>
      </c>
      <c r="N7" s="1">
        <v>0.2</v>
      </c>
      <c r="O7" s="1">
        <v>0.14000000000000001</v>
      </c>
      <c r="P7" s="1">
        <v>0.38</v>
      </c>
      <c r="Q7" s="1">
        <v>0.395666666666667</v>
      </c>
    </row>
    <row r="8" spans="1:17">
      <c r="A8" t="s">
        <v>86</v>
      </c>
      <c r="B8" s="4">
        <v>1200000000000</v>
      </c>
      <c r="C8" s="1">
        <v>200000000000</v>
      </c>
      <c r="D8" s="23">
        <v>330000000000</v>
      </c>
      <c r="E8" s="22">
        <v>5500000000000</v>
      </c>
      <c r="F8" t="s">
        <v>86</v>
      </c>
      <c r="G8" s="1">
        <v>0.66100000000000003</v>
      </c>
      <c r="H8" s="1">
        <v>6.2799999999999995E-2</v>
      </c>
      <c r="I8" s="1">
        <v>0.23799999999999999</v>
      </c>
      <c r="J8" s="1">
        <v>1.73</v>
      </c>
      <c r="K8" s="1">
        <v>-27</v>
      </c>
      <c r="L8" s="1">
        <v>3.5000000000000002E-40</v>
      </c>
      <c r="M8" s="1">
        <v>2.41</v>
      </c>
      <c r="N8" s="1">
        <v>0.2</v>
      </c>
      <c r="O8" s="1">
        <v>0.13</v>
      </c>
      <c r="P8" s="1">
        <v>0.38</v>
      </c>
      <c r="Q8" s="1">
        <v>0.394666666666667</v>
      </c>
    </row>
    <row r="9" spans="1:17">
      <c r="A9" t="s">
        <v>87</v>
      </c>
      <c r="B9" s="4">
        <v>1300000000000</v>
      </c>
      <c r="C9" s="24">
        <v>300000000000</v>
      </c>
      <c r="D9" s="23">
        <v>330000000000</v>
      </c>
      <c r="E9" s="1">
        <v>5200000000000</v>
      </c>
      <c r="F9" t="s">
        <v>87</v>
      </c>
      <c r="G9" s="1">
        <v>0.66300000000000003</v>
      </c>
      <c r="H9" s="1">
        <v>6.3E-2</v>
      </c>
      <c r="I9" s="1">
        <v>0.23799999999999999</v>
      </c>
      <c r="J9" s="1">
        <v>1.63</v>
      </c>
      <c r="K9" s="1">
        <v>-27</v>
      </c>
      <c r="L9" s="1">
        <v>3.8999999999999998E-40</v>
      </c>
      <c r="M9" s="1">
        <v>2.4300000000000002</v>
      </c>
      <c r="N9" s="1">
        <v>0.2</v>
      </c>
      <c r="O9" s="1">
        <v>0.12</v>
      </c>
      <c r="P9" s="1">
        <v>0.38</v>
      </c>
      <c r="Q9" s="1">
        <v>0.393666666666667</v>
      </c>
    </row>
    <row r="10" spans="1:17">
      <c r="A10" t="s">
        <v>93</v>
      </c>
      <c r="B10" s="4">
        <v>1300000000000</v>
      </c>
      <c r="C10" s="24">
        <v>300000000000</v>
      </c>
      <c r="D10" s="23">
        <v>330000000000</v>
      </c>
      <c r="E10" s="21">
        <v>5300000000000</v>
      </c>
      <c r="F10" t="s">
        <v>93</v>
      </c>
      <c r="G10" s="1">
        <v>0.66500000000000004</v>
      </c>
      <c r="H10" s="1">
        <v>6.3200000000000006E-2</v>
      </c>
      <c r="I10" s="1">
        <v>0.23799999999999999</v>
      </c>
      <c r="J10" s="1">
        <v>1.53</v>
      </c>
      <c r="K10" s="1">
        <v>-27</v>
      </c>
      <c r="L10" s="1">
        <v>4.3000000000000003E-40</v>
      </c>
      <c r="M10" s="1">
        <v>2.4500000000000002</v>
      </c>
      <c r="N10" s="1">
        <v>0.2</v>
      </c>
      <c r="O10" s="1">
        <v>0.11</v>
      </c>
      <c r="P10" s="1">
        <v>0.38</v>
      </c>
      <c r="Q10" s="1">
        <v>0.392666666666667</v>
      </c>
    </row>
    <row r="11" spans="1:17">
      <c r="A11" t="s">
        <v>94</v>
      </c>
      <c r="B11" s="4">
        <v>1300000000000</v>
      </c>
      <c r="C11" s="24">
        <v>300000000000</v>
      </c>
      <c r="D11" s="23">
        <v>330000000000</v>
      </c>
      <c r="E11" s="26">
        <v>5400000000000</v>
      </c>
      <c r="F11" t="s">
        <v>94</v>
      </c>
      <c r="G11" s="1">
        <v>0.66700000000000004</v>
      </c>
      <c r="H11" s="1">
        <v>6.3399999999999998E-2</v>
      </c>
      <c r="I11" s="1">
        <v>0.23799999999999999</v>
      </c>
      <c r="J11" s="1">
        <v>1.43</v>
      </c>
      <c r="K11" s="1">
        <v>-27</v>
      </c>
      <c r="L11" s="1">
        <v>4.6999999999999999E-40</v>
      </c>
      <c r="M11" s="1">
        <v>2.4700000000000002</v>
      </c>
      <c r="N11" s="1">
        <v>0.2</v>
      </c>
      <c r="O11" s="1">
        <v>0.1</v>
      </c>
      <c r="P11" s="1">
        <v>0.38</v>
      </c>
      <c r="Q11" s="1">
        <v>0.391666666666667</v>
      </c>
    </row>
    <row r="12" spans="1:17">
      <c r="A12" t="s">
        <v>96</v>
      </c>
      <c r="B12" s="4">
        <v>1300000000000</v>
      </c>
      <c r="C12" s="24">
        <v>300000000000</v>
      </c>
      <c r="D12" s="25">
        <v>360000000000</v>
      </c>
      <c r="E12" s="21">
        <v>5300000000000</v>
      </c>
      <c r="F12" t="s">
        <v>96</v>
      </c>
      <c r="G12" s="1">
        <v>0.67100000000000004</v>
      </c>
      <c r="H12" s="1">
        <v>6.3799999999999996E-2</v>
      </c>
      <c r="I12" s="1">
        <v>0.23799999999999999</v>
      </c>
      <c r="J12" s="1">
        <v>1.23</v>
      </c>
      <c r="K12" s="1">
        <v>-27</v>
      </c>
      <c r="L12" s="1">
        <v>5.5E-40</v>
      </c>
      <c r="M12" s="1">
        <v>2.5099999999999998</v>
      </c>
      <c r="N12" s="1">
        <v>0.2</v>
      </c>
      <c r="O12" s="1">
        <v>8.0000000000000099E-2</v>
      </c>
      <c r="P12" s="1">
        <v>0.38</v>
      </c>
      <c r="Q12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038B-C866-4B12-9567-DB0D49A744D6}">
  <sheetPr codeName="Sheet21">
    <tabColor theme="9"/>
  </sheetPr>
  <dimension ref="A1:Q16"/>
  <sheetViews>
    <sheetView workbookViewId="0">
      <selection sqref="A1:XFD104857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0CCAF-B387-42D8-907A-2043440E89EA}">
  <sheetPr codeName="Sheet20">
    <tabColor theme="9"/>
  </sheetPr>
  <dimension ref="A1:Q16"/>
  <sheetViews>
    <sheetView workbookViewId="0">
      <selection activeCell="F16" sqref="F12:F16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BE25-29F8-456C-809D-F8AE9D0E1705}">
  <sheetPr codeName="Sheet14">
    <tabColor rgb="FFFFFF00"/>
  </sheetPr>
  <dimension ref="A1:CD31"/>
  <sheetViews>
    <sheetView zoomScale="85" zoomScaleNormal="85" workbookViewId="0">
      <selection activeCell="M21" sqref="M21"/>
    </sheetView>
  </sheetViews>
  <sheetFormatPr defaultRowHeight="18.75"/>
  <sheetData>
    <row r="1" spans="1:82">
      <c r="A1" t="s">
        <v>236</v>
      </c>
    </row>
    <row r="5" spans="1:82">
      <c r="A5" t="s">
        <v>230</v>
      </c>
      <c r="B5" t="s">
        <v>24</v>
      </c>
      <c r="K5" t="s">
        <v>230</v>
      </c>
      <c r="L5" t="s">
        <v>118</v>
      </c>
      <c r="U5" t="s">
        <v>230</v>
      </c>
      <c r="V5" t="s">
        <v>118</v>
      </c>
      <c r="AE5" t="s">
        <v>230</v>
      </c>
      <c r="AF5" t="s">
        <v>118</v>
      </c>
      <c r="AO5" t="s">
        <v>230</v>
      </c>
      <c r="AP5" t="s">
        <v>118</v>
      </c>
      <c r="AY5" t="s">
        <v>230</v>
      </c>
      <c r="AZ5" t="s">
        <v>118</v>
      </c>
      <c r="BI5" t="s">
        <v>230</v>
      </c>
      <c r="BJ5" t="s">
        <v>24</v>
      </c>
      <c r="BS5" t="s">
        <v>230</v>
      </c>
      <c r="BT5" t="s">
        <v>24</v>
      </c>
      <c r="CC5" t="s">
        <v>230</v>
      </c>
      <c r="CD5" t="s">
        <v>118</v>
      </c>
    </row>
    <row r="6" spans="1:82">
      <c r="A6" t="s">
        <v>231</v>
      </c>
      <c r="B6" t="s">
        <v>235</v>
      </c>
      <c r="K6" t="s">
        <v>231</v>
      </c>
      <c r="L6" t="s">
        <v>36</v>
      </c>
      <c r="U6" t="s">
        <v>231</v>
      </c>
      <c r="V6" t="s">
        <v>37</v>
      </c>
      <c r="AE6" t="s">
        <v>231</v>
      </c>
      <c r="AF6" t="s">
        <v>38</v>
      </c>
      <c r="AO6" t="s">
        <v>231</v>
      </c>
      <c r="AP6" t="s">
        <v>39</v>
      </c>
      <c r="AY6" t="s">
        <v>231</v>
      </c>
      <c r="AZ6" t="s">
        <v>40</v>
      </c>
      <c r="BI6" t="s">
        <v>231</v>
      </c>
      <c r="BJ6" t="s">
        <v>41</v>
      </c>
      <c r="BS6" t="s">
        <v>231</v>
      </c>
      <c r="BT6" t="s">
        <v>42</v>
      </c>
      <c r="CC6" t="s">
        <v>231</v>
      </c>
      <c r="CD6" t="s">
        <v>78</v>
      </c>
    </row>
    <row r="7" spans="1:82">
      <c r="A7" t="s">
        <v>233</v>
      </c>
      <c r="B7" t="s">
        <v>234</v>
      </c>
      <c r="K7" t="s">
        <v>233</v>
      </c>
      <c r="L7" t="s">
        <v>242</v>
      </c>
      <c r="U7" t="s">
        <v>233</v>
      </c>
      <c r="V7" t="s">
        <v>242</v>
      </c>
      <c r="AE7" t="s">
        <v>233</v>
      </c>
      <c r="AF7" t="s">
        <v>243</v>
      </c>
      <c r="AO7" t="s">
        <v>233</v>
      </c>
      <c r="AP7" t="s">
        <v>244</v>
      </c>
      <c r="AY7" t="s">
        <v>233</v>
      </c>
      <c r="AZ7" t="s">
        <v>245</v>
      </c>
      <c r="BI7" t="s">
        <v>233</v>
      </c>
      <c r="BJ7" t="s">
        <v>234</v>
      </c>
      <c r="BS7" t="s">
        <v>233</v>
      </c>
      <c r="BT7" t="s">
        <v>234</v>
      </c>
      <c r="CC7" t="s">
        <v>233</v>
      </c>
      <c r="CD7" t="s">
        <v>234</v>
      </c>
    </row>
    <row r="8" spans="1:82">
      <c r="A8" t="s">
        <v>232</v>
      </c>
      <c r="B8" t="s">
        <v>68</v>
      </c>
      <c r="K8" t="s">
        <v>232</v>
      </c>
      <c r="L8" t="s">
        <v>70</v>
      </c>
      <c r="U8" t="s">
        <v>232</v>
      </c>
      <c r="V8" t="s">
        <v>72</v>
      </c>
      <c r="AE8" t="s">
        <v>232</v>
      </c>
      <c r="AF8" t="s">
        <v>74</v>
      </c>
      <c r="AO8" t="s">
        <v>232</v>
      </c>
      <c r="AP8" t="s">
        <v>237</v>
      </c>
      <c r="AY8" t="s">
        <v>232</v>
      </c>
      <c r="AZ8" t="s">
        <v>238</v>
      </c>
      <c r="BI8" t="s">
        <v>232</v>
      </c>
      <c r="BJ8" t="s">
        <v>84</v>
      </c>
      <c r="BS8" t="s">
        <v>232</v>
      </c>
      <c r="BT8" t="s">
        <v>239</v>
      </c>
      <c r="CC8" t="s">
        <v>232</v>
      </c>
      <c r="CD8" t="s">
        <v>240</v>
      </c>
    </row>
    <row r="9" spans="1:82">
      <c r="A9" t="s">
        <v>15</v>
      </c>
      <c r="B9">
        <v>0.64900000000000002</v>
      </c>
      <c r="K9" t="s">
        <v>15</v>
      </c>
      <c r="L9">
        <v>6.1600000000000002E-2</v>
      </c>
      <c r="U9" t="s">
        <v>15</v>
      </c>
      <c r="V9">
        <v>0.23799999999999999</v>
      </c>
      <c r="AE9" t="s">
        <v>15</v>
      </c>
      <c r="AF9">
        <v>2.33</v>
      </c>
      <c r="AO9" t="s">
        <v>15</v>
      </c>
      <c r="AP9">
        <v>-27</v>
      </c>
      <c r="AY9" t="s">
        <v>15</v>
      </c>
      <c r="AZ9">
        <v>1.1E-40</v>
      </c>
      <c r="BI9" t="s">
        <v>15</v>
      </c>
      <c r="BJ9">
        <v>2.29</v>
      </c>
      <c r="BS9" t="s">
        <v>15</v>
      </c>
      <c r="BT9">
        <v>0.2</v>
      </c>
      <c r="CC9" t="s">
        <v>15</v>
      </c>
      <c r="CD9">
        <v>0.19</v>
      </c>
    </row>
    <row r="10" spans="1:82">
      <c r="A10" t="s">
        <v>17</v>
      </c>
      <c r="B10">
        <v>0.65300000000000002</v>
      </c>
      <c r="K10" t="s">
        <v>17</v>
      </c>
      <c r="L10">
        <v>6.2E-2</v>
      </c>
      <c r="U10" t="s">
        <v>17</v>
      </c>
      <c r="V10">
        <v>0.23799999999999999</v>
      </c>
      <c r="AE10" t="s">
        <v>17</v>
      </c>
      <c r="AF10">
        <v>2.13</v>
      </c>
      <c r="AO10" t="s">
        <v>17</v>
      </c>
      <c r="AP10">
        <v>-27</v>
      </c>
      <c r="AY10" t="s">
        <v>17</v>
      </c>
      <c r="AZ10">
        <v>9.0000000000000002E-41</v>
      </c>
      <c r="BI10" t="s">
        <v>17</v>
      </c>
      <c r="BJ10">
        <v>2.33</v>
      </c>
      <c r="BS10" t="s">
        <v>17</v>
      </c>
      <c r="BT10">
        <v>0.2</v>
      </c>
      <c r="CC10" t="s">
        <v>17</v>
      </c>
      <c r="CD10">
        <v>0.17</v>
      </c>
    </row>
    <row r="11" spans="1:82">
      <c r="A11" t="s">
        <v>20</v>
      </c>
      <c r="B11">
        <v>0.65900000000000003</v>
      </c>
      <c r="K11" t="s">
        <v>20</v>
      </c>
      <c r="L11">
        <v>6.2600000000000003E-2</v>
      </c>
      <c r="U11" t="s">
        <v>20</v>
      </c>
      <c r="V11">
        <v>0.23799999999999999</v>
      </c>
      <c r="AE11" t="s">
        <v>20</v>
      </c>
      <c r="AF11">
        <v>1.83</v>
      </c>
      <c r="AO11" t="s">
        <v>20</v>
      </c>
      <c r="AP11">
        <v>-27</v>
      </c>
      <c r="AY11" t="s">
        <v>20</v>
      </c>
      <c r="AZ11">
        <v>3.1000000000000001E-40</v>
      </c>
      <c r="BI11" t="s">
        <v>20</v>
      </c>
      <c r="BJ11">
        <v>2.39</v>
      </c>
      <c r="BS11" t="s">
        <v>20</v>
      </c>
      <c r="BT11">
        <v>0.2</v>
      </c>
      <c r="CC11" t="s">
        <v>20</v>
      </c>
      <c r="CD11">
        <v>0.14000000000000001</v>
      </c>
    </row>
    <row r="12" spans="1:82">
      <c r="A12" t="s">
        <v>86</v>
      </c>
      <c r="B12">
        <v>0.66100000000000003</v>
      </c>
      <c r="K12" t="s">
        <v>86</v>
      </c>
      <c r="L12">
        <v>6.2799999999999995E-2</v>
      </c>
      <c r="U12" t="s">
        <v>86</v>
      </c>
      <c r="V12">
        <v>0.23799999999999999</v>
      </c>
      <c r="AE12" t="s">
        <v>86</v>
      </c>
      <c r="AF12">
        <v>1.73</v>
      </c>
      <c r="AO12" t="s">
        <v>86</v>
      </c>
      <c r="AP12">
        <v>-27</v>
      </c>
      <c r="AY12" t="s">
        <v>86</v>
      </c>
      <c r="AZ12">
        <v>3.5000000000000002E-40</v>
      </c>
      <c r="BI12" t="s">
        <v>86</v>
      </c>
      <c r="BJ12">
        <v>2.41</v>
      </c>
      <c r="BS12" t="s">
        <v>86</v>
      </c>
      <c r="BT12">
        <v>0.2</v>
      </c>
      <c r="CC12" t="s">
        <v>86</v>
      </c>
      <c r="CD12">
        <v>0.13</v>
      </c>
    </row>
    <row r="13" spans="1:82">
      <c r="A13" t="s">
        <v>87</v>
      </c>
      <c r="B13">
        <v>0.66300000000000003</v>
      </c>
      <c r="K13" t="s">
        <v>87</v>
      </c>
      <c r="L13">
        <v>6.3E-2</v>
      </c>
      <c r="U13" t="s">
        <v>87</v>
      </c>
      <c r="V13">
        <v>0.23799999999999999</v>
      </c>
      <c r="AE13" t="s">
        <v>87</v>
      </c>
      <c r="AF13">
        <v>1.63</v>
      </c>
      <c r="AO13" t="s">
        <v>87</v>
      </c>
      <c r="AP13">
        <v>-27</v>
      </c>
      <c r="AY13" t="s">
        <v>87</v>
      </c>
      <c r="AZ13">
        <v>3.8999999999999998E-40</v>
      </c>
      <c r="BI13" t="s">
        <v>87</v>
      </c>
      <c r="BJ13">
        <v>2.4300000000000002</v>
      </c>
      <c r="BS13" t="s">
        <v>87</v>
      </c>
      <c r="BT13">
        <v>0.2</v>
      </c>
      <c r="CC13" t="s">
        <v>87</v>
      </c>
      <c r="CD13">
        <v>0.12</v>
      </c>
    </row>
    <row r="14" spans="1:82">
      <c r="A14" t="s">
        <v>93</v>
      </c>
      <c r="B14">
        <v>0.66500000000000004</v>
      </c>
      <c r="K14" t="s">
        <v>93</v>
      </c>
      <c r="L14">
        <v>6.3200000000000006E-2</v>
      </c>
      <c r="U14" t="s">
        <v>93</v>
      </c>
      <c r="V14">
        <v>0.23799999999999999</v>
      </c>
      <c r="AE14" t="s">
        <v>93</v>
      </c>
      <c r="AF14">
        <v>1.53</v>
      </c>
      <c r="AO14" t="s">
        <v>93</v>
      </c>
      <c r="AP14">
        <v>-27</v>
      </c>
      <c r="AY14" t="s">
        <v>93</v>
      </c>
      <c r="AZ14">
        <v>4.3000000000000003E-40</v>
      </c>
      <c r="BI14" t="s">
        <v>93</v>
      </c>
      <c r="BJ14">
        <v>2.4500000000000002</v>
      </c>
      <c r="BS14" t="s">
        <v>93</v>
      </c>
      <c r="BT14">
        <v>0.2</v>
      </c>
      <c r="CC14" t="s">
        <v>93</v>
      </c>
      <c r="CD14">
        <v>0.11</v>
      </c>
    </row>
    <row r="15" spans="1:82">
      <c r="A15" t="s">
        <v>94</v>
      </c>
      <c r="B15">
        <v>0.66700000000000004</v>
      </c>
      <c r="K15" t="s">
        <v>94</v>
      </c>
      <c r="L15">
        <v>6.3399999999999998E-2</v>
      </c>
      <c r="U15" t="s">
        <v>94</v>
      </c>
      <c r="V15">
        <v>0.23799999999999999</v>
      </c>
      <c r="AE15" t="s">
        <v>94</v>
      </c>
      <c r="AF15">
        <v>1.43</v>
      </c>
      <c r="AO15" t="s">
        <v>94</v>
      </c>
      <c r="AP15">
        <v>-27</v>
      </c>
      <c r="AY15" t="s">
        <v>94</v>
      </c>
      <c r="AZ15">
        <v>4.6999999999999999E-40</v>
      </c>
      <c r="BI15" t="s">
        <v>94</v>
      </c>
      <c r="BJ15">
        <v>2.4700000000000002</v>
      </c>
      <c r="BS15" t="s">
        <v>94</v>
      </c>
      <c r="BT15">
        <v>0.2</v>
      </c>
      <c r="CC15" t="s">
        <v>94</v>
      </c>
      <c r="CD15">
        <v>0.1</v>
      </c>
    </row>
    <row r="16" spans="1:82">
      <c r="A16" t="s">
        <v>96</v>
      </c>
      <c r="B16">
        <v>0.67100000000000004</v>
      </c>
      <c r="K16" t="s">
        <v>96</v>
      </c>
      <c r="L16">
        <v>6.3799999999999996E-2</v>
      </c>
      <c r="U16" t="s">
        <v>96</v>
      </c>
      <c r="V16">
        <v>0.23799999999999999</v>
      </c>
      <c r="AE16" t="s">
        <v>96</v>
      </c>
      <c r="AF16">
        <v>1.23</v>
      </c>
      <c r="AO16" t="s">
        <v>96</v>
      </c>
      <c r="AP16">
        <v>-27</v>
      </c>
      <c r="AY16" t="s">
        <v>96</v>
      </c>
      <c r="AZ16">
        <v>5.5E-40</v>
      </c>
      <c r="BI16" t="s">
        <v>96</v>
      </c>
      <c r="BJ16">
        <v>2.5099999999999998</v>
      </c>
      <c r="BS16" t="s">
        <v>96</v>
      </c>
      <c r="BT16">
        <v>0.2</v>
      </c>
      <c r="CC16" t="s">
        <v>96</v>
      </c>
      <c r="CD16">
        <v>8.0000000000000099E-2</v>
      </c>
    </row>
    <row r="20" spans="1:12">
      <c r="A20" t="s">
        <v>230</v>
      </c>
      <c r="B20" t="s">
        <v>119</v>
      </c>
      <c r="K20" t="s">
        <v>230</v>
      </c>
      <c r="L20" t="s">
        <v>119</v>
      </c>
    </row>
    <row r="21" spans="1:12">
      <c r="A21" t="s">
        <v>231</v>
      </c>
      <c r="B21" t="s">
        <v>235</v>
      </c>
      <c r="K21" t="s">
        <v>231</v>
      </c>
      <c r="L21" t="s">
        <v>36</v>
      </c>
    </row>
    <row r="22" spans="1:12">
      <c r="A22" t="s">
        <v>233</v>
      </c>
      <c r="B22" t="s">
        <v>119</v>
      </c>
      <c r="K22" t="s">
        <v>233</v>
      </c>
      <c r="L22" t="s">
        <v>119</v>
      </c>
    </row>
    <row r="23" spans="1:12">
      <c r="A23" t="s">
        <v>232</v>
      </c>
      <c r="B23" t="s">
        <v>241</v>
      </c>
      <c r="K23" t="s">
        <v>232</v>
      </c>
      <c r="L23" t="s">
        <v>85</v>
      </c>
    </row>
    <row r="24" spans="1:12">
      <c r="A24" t="s">
        <v>15</v>
      </c>
      <c r="B24">
        <v>0.38</v>
      </c>
      <c r="K24" t="s">
        <v>15</v>
      </c>
      <c r="L24">
        <v>0.4</v>
      </c>
    </row>
    <row r="25" spans="1:12">
      <c r="A25" t="s">
        <v>17</v>
      </c>
      <c r="B25">
        <v>0.38</v>
      </c>
      <c r="K25" t="s">
        <v>17</v>
      </c>
      <c r="L25">
        <v>0.39800000000000002</v>
      </c>
    </row>
    <row r="26" spans="1:12">
      <c r="A26" t="s">
        <v>20</v>
      </c>
      <c r="B26">
        <v>0.38</v>
      </c>
      <c r="K26" t="s">
        <v>20</v>
      </c>
      <c r="L26">
        <v>0.395666666666667</v>
      </c>
    </row>
    <row r="27" spans="1:12">
      <c r="A27" t="s">
        <v>86</v>
      </c>
      <c r="B27">
        <v>0.38</v>
      </c>
      <c r="K27" t="s">
        <v>86</v>
      </c>
      <c r="L27">
        <v>0.394666666666667</v>
      </c>
    </row>
    <row r="28" spans="1:12">
      <c r="A28" t="s">
        <v>87</v>
      </c>
      <c r="B28">
        <v>0.38</v>
      </c>
      <c r="K28" t="s">
        <v>87</v>
      </c>
      <c r="L28">
        <v>0.393666666666667</v>
      </c>
    </row>
    <row r="29" spans="1:12">
      <c r="A29" t="s">
        <v>93</v>
      </c>
      <c r="B29">
        <v>0.38</v>
      </c>
      <c r="K29" t="s">
        <v>93</v>
      </c>
      <c r="L29">
        <v>0.392666666666667</v>
      </c>
    </row>
    <row r="30" spans="1:12">
      <c r="A30" t="s">
        <v>94</v>
      </c>
      <c r="B30">
        <v>0.38</v>
      </c>
      <c r="K30" t="s">
        <v>94</v>
      </c>
      <c r="L30">
        <v>0.391666666666667</v>
      </c>
    </row>
    <row r="31" spans="1:12">
      <c r="A31" t="s">
        <v>96</v>
      </c>
      <c r="B31">
        <v>0.38</v>
      </c>
      <c r="K31" t="s">
        <v>96</v>
      </c>
      <c r="L31">
        <v>0.38966666666666699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38CFD-C901-4C2B-B0DF-05D15B8FD5F1}">
  <sheetPr codeName="Sheet7"/>
  <dimension ref="A1:L12"/>
  <sheetViews>
    <sheetView workbookViewId="0">
      <selection activeCell="A5" sqref="A5:XFD5"/>
    </sheetView>
  </sheetViews>
  <sheetFormatPr defaultRowHeight="18.75"/>
  <sheetData>
    <row r="1" spans="1:12">
      <c r="A1" t="s">
        <v>27</v>
      </c>
      <c r="B1" t="s">
        <v>30</v>
      </c>
      <c r="C1" t="s">
        <v>35</v>
      </c>
      <c r="D1" t="s">
        <v>35</v>
      </c>
      <c r="E1" t="s">
        <v>35</v>
      </c>
      <c r="F1" t="s">
        <v>35</v>
      </c>
      <c r="G1" t="s">
        <v>35</v>
      </c>
      <c r="H1" t="s">
        <v>30</v>
      </c>
      <c r="I1" t="s">
        <v>30</v>
      </c>
      <c r="J1" t="s">
        <v>35</v>
      </c>
      <c r="K1" t="s">
        <v>147</v>
      </c>
      <c r="L1" t="s">
        <v>147</v>
      </c>
    </row>
    <row r="2" spans="1:12">
      <c r="A2" t="s">
        <v>82</v>
      </c>
      <c r="B2" t="s">
        <v>29</v>
      </c>
      <c r="C2" t="s">
        <v>92</v>
      </c>
      <c r="D2" t="s">
        <v>148</v>
      </c>
      <c r="E2" t="s">
        <v>149</v>
      </c>
      <c r="F2" t="s">
        <v>150</v>
      </c>
      <c r="G2" t="s">
        <v>151</v>
      </c>
      <c r="H2" t="s">
        <v>152</v>
      </c>
      <c r="I2" t="s">
        <v>153</v>
      </c>
      <c r="J2" t="s">
        <v>154</v>
      </c>
      <c r="K2" t="s">
        <v>29</v>
      </c>
      <c r="L2" t="s">
        <v>92</v>
      </c>
    </row>
    <row r="3" spans="1:12">
      <c r="A3" t="s">
        <v>28</v>
      </c>
      <c r="B3" t="s">
        <v>33</v>
      </c>
      <c r="C3" t="s">
        <v>34</v>
      </c>
      <c r="D3" t="s">
        <v>34</v>
      </c>
      <c r="E3" t="s">
        <v>79</v>
      </c>
      <c r="F3" t="s">
        <v>80</v>
      </c>
      <c r="G3" t="s">
        <v>81</v>
      </c>
      <c r="H3" t="s">
        <v>33</v>
      </c>
      <c r="I3" t="s">
        <v>33</v>
      </c>
      <c r="J3" t="s">
        <v>33</v>
      </c>
      <c r="K3" t="s">
        <v>147</v>
      </c>
      <c r="L3" t="s">
        <v>147</v>
      </c>
    </row>
    <row r="4" spans="1:12">
      <c r="A4" t="s">
        <v>21</v>
      </c>
      <c r="B4" t="s">
        <v>69</v>
      </c>
      <c r="C4" t="s">
        <v>71</v>
      </c>
      <c r="D4" t="s">
        <v>73</v>
      </c>
      <c r="E4" t="s">
        <v>7</v>
      </c>
      <c r="F4" t="s">
        <v>31</v>
      </c>
      <c r="G4" t="s">
        <v>32</v>
      </c>
      <c r="H4" t="s">
        <v>5</v>
      </c>
      <c r="I4" t="s">
        <v>76</v>
      </c>
      <c r="J4" t="s">
        <v>77</v>
      </c>
      <c r="K4" t="s">
        <v>75</v>
      </c>
      <c r="L4" t="s">
        <v>83</v>
      </c>
    </row>
    <row r="5" spans="1:12">
      <c r="A5" t="s">
        <v>155</v>
      </c>
      <c r="B5">
        <v>0.64900000000000002</v>
      </c>
      <c r="C5">
        <v>6.1600000000000002E-2</v>
      </c>
      <c r="D5">
        <v>0.23799999999999999</v>
      </c>
      <c r="E5">
        <v>2.33</v>
      </c>
      <c r="F5">
        <v>-27</v>
      </c>
      <c r="G5">
        <v>1.1E-40</v>
      </c>
      <c r="H5">
        <v>2.29</v>
      </c>
      <c r="I5">
        <v>0.2</v>
      </c>
      <c r="J5">
        <v>0.19</v>
      </c>
      <c r="K5">
        <v>0.38</v>
      </c>
      <c r="L5">
        <v>0.4</v>
      </c>
    </row>
    <row r="6" spans="1:12">
      <c r="A6" t="s">
        <v>156</v>
      </c>
      <c r="B6">
        <v>0.65300000000000002</v>
      </c>
      <c r="C6">
        <v>6.2E-2</v>
      </c>
      <c r="D6">
        <v>0.23799999999999999</v>
      </c>
      <c r="E6">
        <v>2.13</v>
      </c>
      <c r="F6">
        <v>-27</v>
      </c>
      <c r="G6">
        <v>9.0000000000000002E-41</v>
      </c>
      <c r="H6">
        <v>2.33</v>
      </c>
      <c r="I6">
        <v>0.2</v>
      </c>
      <c r="J6">
        <v>0.17</v>
      </c>
      <c r="K6">
        <v>0.38</v>
      </c>
      <c r="L6">
        <v>0.39800000000000002</v>
      </c>
    </row>
    <row r="7" spans="1:12">
      <c r="A7" t="s">
        <v>157</v>
      </c>
      <c r="B7">
        <v>0.65900000000000003</v>
      </c>
      <c r="C7">
        <v>6.2600000000000003E-2</v>
      </c>
      <c r="D7">
        <v>0.23799999999999999</v>
      </c>
      <c r="E7">
        <v>1.83</v>
      </c>
      <c r="F7">
        <v>-27</v>
      </c>
      <c r="G7">
        <v>3.1000000000000001E-40</v>
      </c>
      <c r="H7">
        <v>2.39</v>
      </c>
      <c r="I7">
        <v>0.2</v>
      </c>
      <c r="J7">
        <v>0.14000000000000001</v>
      </c>
      <c r="K7">
        <v>0.38</v>
      </c>
      <c r="L7">
        <v>0.395666666666667</v>
      </c>
    </row>
    <row r="8" spans="1:12">
      <c r="A8" t="s">
        <v>158</v>
      </c>
      <c r="B8">
        <v>0.66100000000000003</v>
      </c>
      <c r="C8">
        <v>6.2799999999999995E-2</v>
      </c>
      <c r="D8">
        <v>0.23799999999999999</v>
      </c>
      <c r="E8">
        <v>1.73</v>
      </c>
      <c r="F8">
        <v>-27</v>
      </c>
      <c r="G8">
        <v>3.5000000000000002E-40</v>
      </c>
      <c r="H8">
        <v>2.41</v>
      </c>
      <c r="I8">
        <v>0.2</v>
      </c>
      <c r="J8">
        <v>0.13</v>
      </c>
      <c r="K8">
        <v>0.38</v>
      </c>
      <c r="L8">
        <v>0.394666666666667</v>
      </c>
    </row>
    <row r="9" spans="1:12">
      <c r="A9" t="s">
        <v>159</v>
      </c>
      <c r="B9">
        <v>0.66300000000000003</v>
      </c>
      <c r="C9">
        <v>6.3E-2</v>
      </c>
      <c r="D9">
        <v>0.23799999999999999</v>
      </c>
      <c r="E9">
        <v>1.63</v>
      </c>
      <c r="F9">
        <v>-27</v>
      </c>
      <c r="G9">
        <v>3.8999999999999998E-40</v>
      </c>
      <c r="H9">
        <v>2.4300000000000002</v>
      </c>
      <c r="I9">
        <v>0.2</v>
      </c>
      <c r="J9">
        <v>0.12</v>
      </c>
      <c r="K9">
        <v>0.38</v>
      </c>
      <c r="L9">
        <v>0.393666666666667</v>
      </c>
    </row>
    <row r="10" spans="1:12">
      <c r="A10" t="s">
        <v>160</v>
      </c>
      <c r="B10">
        <v>0.66500000000000004</v>
      </c>
      <c r="C10">
        <v>6.3200000000000006E-2</v>
      </c>
      <c r="D10">
        <v>0.23799999999999999</v>
      </c>
      <c r="E10">
        <v>1.53</v>
      </c>
      <c r="F10">
        <v>-27</v>
      </c>
      <c r="G10">
        <v>4.3000000000000003E-40</v>
      </c>
      <c r="H10">
        <v>2.4500000000000002</v>
      </c>
      <c r="I10">
        <v>0.2</v>
      </c>
      <c r="J10">
        <v>0.11</v>
      </c>
      <c r="K10">
        <v>0.38</v>
      </c>
      <c r="L10">
        <v>0.392666666666667</v>
      </c>
    </row>
    <row r="11" spans="1:12">
      <c r="A11" t="s">
        <v>161</v>
      </c>
      <c r="B11">
        <v>0.66700000000000004</v>
      </c>
      <c r="C11">
        <v>6.3399999999999998E-2</v>
      </c>
      <c r="D11">
        <v>0.23799999999999999</v>
      </c>
      <c r="E11">
        <v>1.43</v>
      </c>
      <c r="F11">
        <v>-27</v>
      </c>
      <c r="G11">
        <v>4.6999999999999999E-40</v>
      </c>
      <c r="H11">
        <v>2.4700000000000002</v>
      </c>
      <c r="I11">
        <v>0.2</v>
      </c>
      <c r="J11">
        <v>0.1</v>
      </c>
      <c r="K11">
        <v>0.38</v>
      </c>
      <c r="L11">
        <v>0.391666666666667</v>
      </c>
    </row>
    <row r="12" spans="1:12">
      <c r="A12" t="s">
        <v>162</v>
      </c>
      <c r="B12">
        <v>0.67100000000000004</v>
      </c>
      <c r="C12">
        <v>6.3799999999999996E-2</v>
      </c>
      <c r="D12">
        <v>0.23799999999999999</v>
      </c>
      <c r="E12">
        <v>1.23</v>
      </c>
      <c r="F12">
        <v>-27</v>
      </c>
      <c r="G12">
        <v>5.5E-40</v>
      </c>
      <c r="H12">
        <v>2.5099999999999998</v>
      </c>
      <c r="I12">
        <v>0.2</v>
      </c>
      <c r="J12">
        <v>8.0000000000000099E-2</v>
      </c>
      <c r="K12">
        <v>0.38</v>
      </c>
      <c r="L12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12A3-7BC8-4000-AAFB-E556A684D64E}">
  <sheetPr codeName="Sheet15">
    <tabColor rgb="FFFFFF00"/>
  </sheetPr>
  <dimension ref="A1:E13"/>
  <sheetViews>
    <sheetView zoomScale="85" zoomScaleNormal="85" workbookViewId="0">
      <selection sqref="A1:E14"/>
    </sheetView>
  </sheetViews>
  <sheetFormatPr defaultRowHeight="18.75"/>
  <sheetData>
    <row r="1" spans="1:5">
      <c r="A1" s="5" t="s">
        <v>21</v>
      </c>
      <c r="B1" t="s">
        <v>69</v>
      </c>
      <c r="C1" t="s">
        <v>7</v>
      </c>
      <c r="D1" s="20" t="s">
        <v>5</v>
      </c>
      <c r="E1" t="s">
        <v>83</v>
      </c>
    </row>
    <row r="2" spans="1:5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E37"/>
  <sheetViews>
    <sheetView zoomScaleNormal="100" workbookViewId="0"/>
  </sheetViews>
  <sheetFormatPr defaultRowHeight="18.75"/>
  <sheetData>
    <row r="1" spans="1:5">
      <c r="A1" t="s">
        <v>121</v>
      </c>
    </row>
    <row r="4" spans="1:5">
      <c r="A4" t="s">
        <v>222</v>
      </c>
    </row>
    <row r="5" spans="1:5">
      <c r="B5" t="s">
        <v>123</v>
      </c>
    </row>
    <row r="6" spans="1:5">
      <c r="A6" t="s">
        <v>124</v>
      </c>
      <c r="B6" t="s">
        <v>226</v>
      </c>
      <c r="C6" t="s">
        <v>227</v>
      </c>
      <c r="D6" t="s">
        <v>228</v>
      </c>
      <c r="E6" t="s">
        <v>229</v>
      </c>
    </row>
    <row r="7" spans="1:5">
      <c r="A7">
        <v>5200000000000</v>
      </c>
      <c r="B7">
        <v>0.64900000000000002</v>
      </c>
    </row>
    <row r="8" spans="1:5">
      <c r="A8">
        <v>5400000000000</v>
      </c>
      <c r="B8">
        <v>0.65300000000000002</v>
      </c>
      <c r="E8">
        <v>0.65900000000000003</v>
      </c>
    </row>
    <row r="9" spans="1:5">
      <c r="A9">
        <v>5500000000000</v>
      </c>
      <c r="E9">
        <v>0.66100000000000003</v>
      </c>
    </row>
    <row r="10" spans="1:5">
      <c r="A10">
        <v>5300000000000</v>
      </c>
    </row>
    <row r="13" spans="1:5">
      <c r="A13" t="s">
        <v>223</v>
      </c>
    </row>
    <row r="14" spans="1:5">
      <c r="B14" t="s">
        <v>123</v>
      </c>
    </row>
    <row r="15" spans="1:5">
      <c r="A15" t="s">
        <v>124</v>
      </c>
      <c r="B15" t="s">
        <v>226</v>
      </c>
      <c r="C15" t="s">
        <v>227</v>
      </c>
      <c r="D15" t="s">
        <v>228</v>
      </c>
      <c r="E15" t="s">
        <v>229</v>
      </c>
    </row>
    <row r="16" spans="1:5">
      <c r="A16">
        <v>5200000000000</v>
      </c>
      <c r="B16">
        <v>2.33</v>
      </c>
    </row>
    <row r="17" spans="1:5">
      <c r="A17">
        <v>5400000000000</v>
      </c>
      <c r="B17">
        <v>2.13</v>
      </c>
      <c r="E17">
        <v>1.83</v>
      </c>
    </row>
    <row r="18" spans="1:5">
      <c r="A18">
        <v>5500000000000</v>
      </c>
      <c r="E18">
        <v>1.73</v>
      </c>
    </row>
    <row r="19" spans="1:5">
      <c r="A19">
        <v>5300000000000</v>
      </c>
    </row>
    <row r="22" spans="1:5">
      <c r="A22" t="s">
        <v>224</v>
      </c>
    </row>
    <row r="23" spans="1:5">
      <c r="B23" t="s">
        <v>123</v>
      </c>
    </row>
    <row r="24" spans="1:5">
      <c r="A24" t="s">
        <v>124</v>
      </c>
      <c r="B24" t="s">
        <v>226</v>
      </c>
      <c r="C24" t="s">
        <v>227</v>
      </c>
      <c r="D24" t="s">
        <v>228</v>
      </c>
      <c r="E24" t="s">
        <v>229</v>
      </c>
    </row>
    <row r="25" spans="1:5">
      <c r="A25">
        <v>5200000000000</v>
      </c>
      <c r="B25">
        <v>2.29</v>
      </c>
    </row>
    <row r="26" spans="1:5">
      <c r="A26">
        <v>5400000000000</v>
      </c>
      <c r="B26">
        <v>2.33</v>
      </c>
      <c r="E26">
        <v>2.39</v>
      </c>
    </row>
    <row r="27" spans="1:5">
      <c r="A27">
        <v>5500000000000</v>
      </c>
      <c r="E27">
        <v>2.41</v>
      </c>
    </row>
    <row r="28" spans="1:5">
      <c r="A28">
        <v>5300000000000</v>
      </c>
    </row>
    <row r="31" spans="1:5">
      <c r="A31" t="s">
        <v>225</v>
      </c>
    </row>
    <row r="32" spans="1:5">
      <c r="B32" t="s">
        <v>123</v>
      </c>
    </row>
    <row r="33" spans="1:5">
      <c r="A33" t="s">
        <v>124</v>
      </c>
      <c r="B33" t="s">
        <v>226</v>
      </c>
      <c r="C33" t="s">
        <v>227</v>
      </c>
      <c r="D33" t="s">
        <v>228</v>
      </c>
      <c r="E33" t="s">
        <v>229</v>
      </c>
    </row>
    <row r="34" spans="1:5">
      <c r="A34">
        <v>5200000000000</v>
      </c>
      <c r="B34">
        <v>0.4</v>
      </c>
    </row>
    <row r="35" spans="1:5">
      <c r="A35">
        <v>5400000000000</v>
      </c>
      <c r="B35">
        <v>0.39800000000000002</v>
      </c>
      <c r="E35">
        <v>0.395666666666667</v>
      </c>
    </row>
    <row r="36" spans="1:5">
      <c r="A36">
        <v>5500000000000</v>
      </c>
      <c r="E36">
        <v>0.394666666666667</v>
      </c>
    </row>
    <row r="37" spans="1:5">
      <c r="A37">
        <v>5300000000000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8C39-A0B2-4977-BEF0-B26521343857}">
  <sheetPr codeName="Sheet9"/>
  <dimension ref="A1:E17"/>
  <sheetViews>
    <sheetView tabSelected="1" workbookViewId="0">
      <selection activeCell="D11" sqref="D11"/>
    </sheetView>
  </sheetViews>
  <sheetFormatPr defaultRowHeight="18.75"/>
  <cols>
    <col min="1" max="16384" width="9" style="13"/>
  </cols>
  <sheetData>
    <row r="1" spans="1:5">
      <c r="A1" s="13" t="s">
        <v>248</v>
      </c>
    </row>
    <row r="2" spans="1:5">
      <c r="A2" s="13" t="s">
        <v>145</v>
      </c>
    </row>
    <row r="3" spans="1:5">
      <c r="A3" s="13" t="s">
        <v>146</v>
      </c>
    </row>
    <row r="4" spans="1:5">
      <c r="A4" s="13" t="s">
        <v>249</v>
      </c>
    </row>
    <row r="6" spans="1:5">
      <c r="B6" s="5" t="s">
        <v>21</v>
      </c>
      <c r="C6" s="5" t="s">
        <v>27</v>
      </c>
      <c r="D6" s="5" t="s">
        <v>82</v>
      </c>
      <c r="E6" s="5" t="s">
        <v>28</v>
      </c>
    </row>
    <row r="7" spans="1:5">
      <c r="B7" t="s">
        <v>69</v>
      </c>
      <c r="C7" t="s">
        <v>30</v>
      </c>
      <c r="D7" t="s">
        <v>29</v>
      </c>
      <c r="E7" t="s">
        <v>33</v>
      </c>
    </row>
    <row r="8" spans="1:5">
      <c r="B8" t="s">
        <v>71</v>
      </c>
      <c r="C8" t="s">
        <v>35</v>
      </c>
      <c r="D8" t="s">
        <v>36</v>
      </c>
      <c r="E8" t="s">
        <v>34</v>
      </c>
    </row>
    <row r="9" spans="1:5">
      <c r="B9" t="s">
        <v>73</v>
      </c>
      <c r="C9" t="s">
        <v>35</v>
      </c>
      <c r="D9" t="s">
        <v>37</v>
      </c>
      <c r="E9" t="s">
        <v>34</v>
      </c>
    </row>
    <row r="10" spans="1:5">
      <c r="B10" t="s">
        <v>7</v>
      </c>
      <c r="C10" t="s">
        <v>35</v>
      </c>
      <c r="D10" t="s">
        <v>38</v>
      </c>
      <c r="E10" t="s">
        <v>79</v>
      </c>
    </row>
    <row r="11" spans="1:5">
      <c r="B11" t="s">
        <v>31</v>
      </c>
      <c r="C11" t="s">
        <v>35</v>
      </c>
      <c r="D11" t="s">
        <v>39</v>
      </c>
      <c r="E11" t="s">
        <v>80</v>
      </c>
    </row>
    <row r="12" spans="1:5">
      <c r="B12" t="s">
        <v>32</v>
      </c>
      <c r="C12" t="s">
        <v>35</v>
      </c>
      <c r="D12" t="s">
        <v>40</v>
      </c>
      <c r="E12" t="s">
        <v>81</v>
      </c>
    </row>
    <row r="13" spans="1:5">
      <c r="B13" s="20" t="s">
        <v>5</v>
      </c>
      <c r="C13" t="s">
        <v>30</v>
      </c>
      <c r="D13" t="s">
        <v>41</v>
      </c>
      <c r="E13" t="s">
        <v>33</v>
      </c>
    </row>
    <row r="14" spans="1:5">
      <c r="B14" t="s">
        <v>76</v>
      </c>
      <c r="C14" t="s">
        <v>24</v>
      </c>
      <c r="D14" t="s">
        <v>42</v>
      </c>
      <c r="E14" t="s">
        <v>33</v>
      </c>
    </row>
    <row r="15" spans="1:5">
      <c r="B15" t="s">
        <v>77</v>
      </c>
      <c r="C15" t="s">
        <v>35</v>
      </c>
      <c r="D15" t="s">
        <v>78</v>
      </c>
      <c r="E15" t="s">
        <v>33</v>
      </c>
    </row>
    <row r="16" spans="1:5">
      <c r="B16" t="s">
        <v>75</v>
      </c>
      <c r="C16" t="s">
        <v>119</v>
      </c>
      <c r="D16" t="s">
        <v>29</v>
      </c>
      <c r="E16" t="s">
        <v>119</v>
      </c>
    </row>
    <row r="17" spans="2:5">
      <c r="B17" t="s">
        <v>83</v>
      </c>
      <c r="C17" t="s">
        <v>119</v>
      </c>
      <c r="D17" t="s">
        <v>92</v>
      </c>
      <c r="E17" t="s">
        <v>119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DC15E-B365-4B0D-A036-D623756169AF}">
  <sheetPr codeName="Sheet10">
    <tabColor rgb="FFFFFF00"/>
  </sheetPr>
  <dimension ref="A1:E33"/>
  <sheetViews>
    <sheetView zoomScaleNormal="100" workbookViewId="0">
      <selection activeCell="A4" sqref="A4"/>
    </sheetView>
  </sheetViews>
  <sheetFormatPr defaultRowHeight="18.75"/>
  <sheetData>
    <row r="1" spans="1:5">
      <c r="A1" t="s">
        <v>121</v>
      </c>
    </row>
    <row r="4" spans="1:5">
      <c r="A4" t="s">
        <v>122</v>
      </c>
    </row>
    <row r="5" spans="1:5">
      <c r="B5" t="s">
        <v>123</v>
      </c>
    </row>
    <row r="6" spans="1:5">
      <c r="A6" t="s">
        <v>124</v>
      </c>
      <c r="B6" t="s">
        <v>132</v>
      </c>
      <c r="C6" t="s">
        <v>133</v>
      </c>
      <c r="D6" t="s">
        <v>134</v>
      </c>
      <c r="E6" t="s">
        <v>135</v>
      </c>
    </row>
    <row r="7" spans="1:5">
      <c r="A7">
        <v>5200000000000</v>
      </c>
      <c r="B7">
        <v>0.64900000000000002</v>
      </c>
      <c r="E7">
        <v>0.65500000000000003</v>
      </c>
    </row>
    <row r="8" spans="1:5">
      <c r="A8">
        <v>5300000000000</v>
      </c>
      <c r="B8">
        <v>0.65100000000000002</v>
      </c>
      <c r="E8">
        <v>0.65700000000000003</v>
      </c>
    </row>
    <row r="9" spans="1:5">
      <c r="A9">
        <v>5400000000000</v>
      </c>
      <c r="B9">
        <v>0.65300000000000002</v>
      </c>
      <c r="E9">
        <v>0.66100000000000003</v>
      </c>
    </row>
    <row r="12" spans="1:5">
      <c r="A12" t="s">
        <v>125</v>
      </c>
    </row>
    <row r="13" spans="1:5">
      <c r="B13" t="s">
        <v>123</v>
      </c>
    </row>
    <row r="14" spans="1:5">
      <c r="A14" t="s">
        <v>124</v>
      </c>
      <c r="B14" t="s">
        <v>132</v>
      </c>
      <c r="C14" t="s">
        <v>133</v>
      </c>
      <c r="D14" t="s">
        <v>134</v>
      </c>
      <c r="E14" t="s">
        <v>135</v>
      </c>
    </row>
    <row r="15" spans="1:5">
      <c r="A15">
        <v>5200000000000</v>
      </c>
      <c r="B15">
        <v>2.33</v>
      </c>
      <c r="E15">
        <v>2.0299999999999998</v>
      </c>
    </row>
    <row r="16" spans="1:5">
      <c r="A16">
        <v>5300000000000</v>
      </c>
      <c r="B16">
        <v>2.23</v>
      </c>
      <c r="E16">
        <v>1.93</v>
      </c>
    </row>
    <row r="17" spans="1:5">
      <c r="A17">
        <v>5400000000000</v>
      </c>
      <c r="B17">
        <v>2.13</v>
      </c>
      <c r="E17">
        <v>1.73</v>
      </c>
    </row>
    <row r="20" spans="1:5">
      <c r="A20" t="s">
        <v>126</v>
      </c>
    </row>
    <row r="21" spans="1:5">
      <c r="B21" t="s">
        <v>123</v>
      </c>
    </row>
    <row r="22" spans="1:5">
      <c r="A22" t="s">
        <v>124</v>
      </c>
      <c r="B22" t="s">
        <v>132</v>
      </c>
      <c r="C22" t="s">
        <v>133</v>
      </c>
      <c r="D22" t="s">
        <v>134</v>
      </c>
      <c r="E22" t="s">
        <v>135</v>
      </c>
    </row>
    <row r="23" spans="1:5">
      <c r="A23">
        <v>5200000000000</v>
      </c>
      <c r="B23">
        <v>2.29</v>
      </c>
      <c r="E23">
        <v>2.35</v>
      </c>
    </row>
    <row r="24" spans="1:5">
      <c r="A24">
        <v>5300000000000</v>
      </c>
      <c r="B24">
        <v>2.31</v>
      </c>
      <c r="E24">
        <v>2.37</v>
      </c>
    </row>
    <row r="25" spans="1:5">
      <c r="A25">
        <v>5400000000000</v>
      </c>
      <c r="B25">
        <v>2.33</v>
      </c>
      <c r="E25">
        <v>2.41</v>
      </c>
    </row>
    <row r="28" spans="1:5">
      <c r="A28" t="s">
        <v>127</v>
      </c>
    </row>
    <row r="29" spans="1:5">
      <c r="B29" t="s">
        <v>123</v>
      </c>
    </row>
    <row r="30" spans="1:5">
      <c r="A30" t="s">
        <v>124</v>
      </c>
      <c r="B30" t="s">
        <v>132</v>
      </c>
      <c r="C30" t="s">
        <v>133</v>
      </c>
      <c r="D30" t="s">
        <v>134</v>
      </c>
      <c r="E30" t="s">
        <v>135</v>
      </c>
    </row>
    <row r="31" spans="1:5">
      <c r="A31">
        <v>5200000000000</v>
      </c>
      <c r="B31">
        <v>0.4</v>
      </c>
      <c r="E31">
        <v>0.397666666666667</v>
      </c>
    </row>
    <row r="32" spans="1:5">
      <c r="A32">
        <v>5300000000000</v>
      </c>
      <c r="B32">
        <v>0.40100000000000002</v>
      </c>
      <c r="E32">
        <v>0.396666666666667</v>
      </c>
    </row>
    <row r="33" spans="1:5">
      <c r="A33">
        <v>5400000000000</v>
      </c>
      <c r="B33">
        <v>0.39800000000000002</v>
      </c>
      <c r="E33">
        <v>0.394666666666667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H15" sqref="H15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57</v>
      </c>
      <c r="H1" t="s">
        <v>60</v>
      </c>
      <c r="L1" s="6" t="s">
        <v>56</v>
      </c>
      <c r="M1" s="6" t="s">
        <v>56</v>
      </c>
      <c r="N1" s="6" t="s">
        <v>56</v>
      </c>
    </row>
    <row r="2" spans="2:16">
      <c r="B2" t="s">
        <v>44</v>
      </c>
      <c r="C2" t="s">
        <v>46</v>
      </c>
      <c r="D2" t="s">
        <v>48</v>
      </c>
      <c r="E2" s="6" t="s">
        <v>49</v>
      </c>
      <c r="F2" s="6" t="s">
        <v>89</v>
      </c>
      <c r="K2" s="8" t="s">
        <v>49</v>
      </c>
      <c r="L2" s="8" t="s">
        <v>58</v>
      </c>
      <c r="M2" s="8" t="s">
        <v>59</v>
      </c>
      <c r="N2" s="8" t="s">
        <v>61</v>
      </c>
    </row>
    <row r="3" spans="2:16">
      <c r="B3" t="s">
        <v>51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62</v>
      </c>
      <c r="K3" s="10">
        <v>5290000000000</v>
      </c>
      <c r="L3" s="2"/>
      <c r="M3" s="10">
        <v>1</v>
      </c>
      <c r="N3" s="10"/>
    </row>
    <row r="4" spans="2:16">
      <c r="B4" t="s">
        <v>53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55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57</v>
      </c>
      <c r="J7" t="s">
        <v>62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43</v>
      </c>
      <c r="C8" t="s">
        <v>45</v>
      </c>
      <c r="D8" t="s">
        <v>47</v>
      </c>
      <c r="E8" s="6" t="s">
        <v>49</v>
      </c>
      <c r="F8" s="6" t="s">
        <v>89</v>
      </c>
      <c r="J8" t="s">
        <v>62</v>
      </c>
      <c r="K8" s="10">
        <v>5540000000000</v>
      </c>
      <c r="L8" s="2"/>
      <c r="M8" s="10"/>
      <c r="N8" s="10">
        <v>5</v>
      </c>
    </row>
    <row r="9" spans="2:16">
      <c r="B9" t="s">
        <v>50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52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54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88</v>
      </c>
    </row>
    <row r="12" spans="2:16">
      <c r="P12" t="s">
        <v>90</v>
      </c>
    </row>
    <row r="13" spans="2:16">
      <c r="B13" t="s">
        <v>57</v>
      </c>
      <c r="P13" s="14" t="s">
        <v>67</v>
      </c>
    </row>
    <row r="14" spans="2:16">
      <c r="B14" t="s">
        <v>43</v>
      </c>
      <c r="C14" t="s">
        <v>45</v>
      </c>
      <c r="D14" t="s">
        <v>47</v>
      </c>
      <c r="E14" s="6" t="s">
        <v>49</v>
      </c>
      <c r="F14" s="6" t="s">
        <v>89</v>
      </c>
      <c r="P14" s="14" t="s">
        <v>68</v>
      </c>
    </row>
    <row r="15" spans="2:16">
      <c r="B15" t="s">
        <v>50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70</v>
      </c>
    </row>
    <row r="16" spans="2:16">
      <c r="B16" t="s">
        <v>52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72</v>
      </c>
    </row>
    <row r="17" spans="2:16">
      <c r="B17" t="s">
        <v>54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74</v>
      </c>
    </row>
  </sheetData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workbookViewId="0">
      <selection sqref="A1:E13"/>
    </sheetView>
  </sheetViews>
  <sheetFormatPr defaultRowHeight="18.75"/>
  <sheetData>
    <row r="1" spans="1:16">
      <c r="A1" s="5" t="s">
        <v>21</v>
      </c>
      <c r="B1" t="s">
        <v>69</v>
      </c>
      <c r="C1" t="s">
        <v>7</v>
      </c>
      <c r="D1" s="20" t="s">
        <v>5</v>
      </c>
      <c r="E1" t="s">
        <v>83</v>
      </c>
      <c r="L1" s="27" t="s">
        <v>116</v>
      </c>
    </row>
    <row r="2" spans="1:16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101</v>
      </c>
    </row>
    <row r="4" spans="1:16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102</v>
      </c>
    </row>
    <row r="5" spans="1:16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63</v>
      </c>
      <c r="M5" t="s">
        <v>97</v>
      </c>
      <c r="N5" t="s">
        <v>98</v>
      </c>
      <c r="O5" t="s">
        <v>99</v>
      </c>
      <c r="P5" t="s">
        <v>100</v>
      </c>
    </row>
    <row r="6" spans="1:16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I7"/>
  <sheetViews>
    <sheetView workbookViewId="0">
      <selection sqref="A1:I7"/>
    </sheetView>
  </sheetViews>
  <sheetFormatPr defaultRowHeight="18.75"/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138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139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140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141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142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143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H6"/>
  <sheetViews>
    <sheetView zoomScale="70" zoomScaleNormal="70" workbookViewId="0">
      <selection activeCell="E3" sqref="E3:I6"/>
    </sheetView>
  </sheetViews>
  <sheetFormatPr defaultRowHeight="18.75"/>
  <sheetData>
    <row r="1" spans="1:8">
      <c r="A1" t="s">
        <v>136</v>
      </c>
      <c r="D1" t="s">
        <v>120</v>
      </c>
    </row>
    <row r="2" spans="1:8">
      <c r="A2" t="s">
        <v>113</v>
      </c>
    </row>
    <row r="3" spans="1:8">
      <c r="A3" t="s">
        <v>106</v>
      </c>
      <c r="D3" t="s">
        <v>113</v>
      </c>
      <c r="E3" t="s">
        <v>106</v>
      </c>
      <c r="F3" t="s">
        <v>107</v>
      </c>
      <c r="G3" t="s">
        <v>108</v>
      </c>
      <c r="H3" t="s">
        <v>109</v>
      </c>
    </row>
    <row r="4" spans="1:8">
      <c r="A4" t="s">
        <v>107</v>
      </c>
      <c r="D4">
        <v>1100000000000</v>
      </c>
      <c r="E4">
        <v>5200000000000</v>
      </c>
      <c r="F4">
        <v>1</v>
      </c>
      <c r="G4">
        <v>311000000000</v>
      </c>
      <c r="H4">
        <v>-1.1000000000000001</v>
      </c>
    </row>
    <row r="5" spans="1:8">
      <c r="A5" t="s">
        <v>108</v>
      </c>
      <c r="D5">
        <v>1200000000000</v>
      </c>
      <c r="E5">
        <v>5300000000000</v>
      </c>
      <c r="F5">
        <v>2</v>
      </c>
      <c r="G5">
        <v>330000000000</v>
      </c>
      <c r="H5">
        <v>-1.2</v>
      </c>
    </row>
    <row r="6" spans="1:8">
      <c r="A6" t="s">
        <v>109</v>
      </c>
      <c r="E6">
        <v>5400000000000</v>
      </c>
      <c r="F6">
        <v>3</v>
      </c>
    </row>
  </sheetData>
  <phoneticPr fontId="1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W26"/>
  <sheetViews>
    <sheetView zoomScale="70" zoomScaleNormal="70" workbookViewId="0">
      <selection activeCell="E1" sqref="E1:P12"/>
    </sheetView>
  </sheetViews>
  <sheetFormatPr defaultRowHeight="18.75"/>
  <sheetData>
    <row r="1" spans="1:19">
      <c r="B1" t="s">
        <v>211</v>
      </c>
      <c r="C1" t="s">
        <v>211</v>
      </c>
      <c r="D1" t="s">
        <v>210</v>
      </c>
      <c r="E1" s="5" t="s">
        <v>27</v>
      </c>
      <c r="F1" t="s">
        <v>214</v>
      </c>
      <c r="G1" t="s">
        <v>213</v>
      </c>
      <c r="H1" t="s">
        <v>212</v>
      </c>
      <c r="I1" t="s">
        <v>246</v>
      </c>
      <c r="L1" t="s">
        <v>247</v>
      </c>
    </row>
    <row r="2" spans="1:19">
      <c r="A2" s="2" t="s">
        <v>12</v>
      </c>
      <c r="B2" s="2" t="s">
        <v>103</v>
      </c>
      <c r="C2" s="2" t="s">
        <v>108</v>
      </c>
      <c r="D2" s="2" t="s">
        <v>106</v>
      </c>
      <c r="E2" s="5" t="s">
        <v>82</v>
      </c>
      <c r="F2" t="s">
        <v>29</v>
      </c>
      <c r="G2" t="s">
        <v>38</v>
      </c>
      <c r="H2" t="s">
        <v>41</v>
      </c>
      <c r="I2" t="s">
        <v>92</v>
      </c>
    </row>
    <row r="3" spans="1:19">
      <c r="A3" s="38" t="s">
        <v>208</v>
      </c>
      <c r="B3" s="38" t="s">
        <v>114</v>
      </c>
      <c r="C3" s="38" t="s">
        <v>114</v>
      </c>
      <c r="D3" s="38" t="s">
        <v>114</v>
      </c>
      <c r="E3" s="5" t="s">
        <v>21</v>
      </c>
      <c r="F3" t="s">
        <v>69</v>
      </c>
      <c r="G3" t="s">
        <v>7</v>
      </c>
      <c r="H3" s="20" t="s">
        <v>5</v>
      </c>
      <c r="I3" t="s">
        <v>83</v>
      </c>
      <c r="L3" t="s">
        <v>215</v>
      </c>
      <c r="M3" t="s">
        <v>211</v>
      </c>
      <c r="N3" t="s">
        <v>211</v>
      </c>
      <c r="O3" t="s">
        <v>210</v>
      </c>
      <c r="P3" t="s">
        <v>216</v>
      </c>
      <c r="Q3" t="s">
        <v>217</v>
      </c>
      <c r="R3" t="s">
        <v>218</v>
      </c>
      <c r="S3" t="s">
        <v>219</v>
      </c>
    </row>
    <row r="4" spans="1:19">
      <c r="A4" s="38" t="s">
        <v>209</v>
      </c>
      <c r="B4" s="38" t="s">
        <v>114</v>
      </c>
      <c r="C4" s="38" t="s">
        <v>114</v>
      </c>
      <c r="D4" s="38" t="s">
        <v>114</v>
      </c>
      <c r="E4" s="5" t="s">
        <v>28</v>
      </c>
      <c r="F4" t="s">
        <v>33</v>
      </c>
      <c r="G4" t="s">
        <v>79</v>
      </c>
      <c r="H4" t="s">
        <v>33</v>
      </c>
      <c r="I4" t="s">
        <v>119</v>
      </c>
      <c r="L4" t="s">
        <v>220</v>
      </c>
      <c r="M4" t="s">
        <v>113</v>
      </c>
      <c r="N4" t="s">
        <v>108</v>
      </c>
      <c r="O4" t="s">
        <v>106</v>
      </c>
      <c r="P4" t="s">
        <v>68</v>
      </c>
      <c r="Q4" t="s">
        <v>74</v>
      </c>
      <c r="R4" t="s">
        <v>84</v>
      </c>
      <c r="S4" t="s">
        <v>85</v>
      </c>
    </row>
    <row r="5" spans="1:19">
      <c r="A5" t="s">
        <v>15</v>
      </c>
      <c r="B5" s="1">
        <v>1100000000000</v>
      </c>
      <c r="C5">
        <v>311000000000</v>
      </c>
      <c r="D5" s="1">
        <v>5200000000000</v>
      </c>
      <c r="E5" t="s">
        <v>15</v>
      </c>
      <c r="F5" s="1">
        <v>0.64900000000000002</v>
      </c>
      <c r="G5" s="1">
        <v>2.33</v>
      </c>
      <c r="H5" s="1">
        <v>2.29</v>
      </c>
      <c r="I5" s="1">
        <v>0.4</v>
      </c>
      <c r="L5" t="s">
        <v>15</v>
      </c>
      <c r="M5">
        <v>1100000000000</v>
      </c>
      <c r="N5">
        <v>311000000000</v>
      </c>
      <c r="O5">
        <v>5200000000000</v>
      </c>
      <c r="P5">
        <v>0.64900000000000002</v>
      </c>
      <c r="Q5">
        <v>2.33</v>
      </c>
      <c r="R5">
        <v>2.29</v>
      </c>
      <c r="S5">
        <v>0.4</v>
      </c>
    </row>
    <row r="6" spans="1:19">
      <c r="A6" t="s">
        <v>17</v>
      </c>
      <c r="B6" s="1">
        <v>1100000000000</v>
      </c>
      <c r="C6">
        <v>311000000000</v>
      </c>
      <c r="D6" s="26">
        <v>5400000000000</v>
      </c>
      <c r="E6" t="s">
        <v>17</v>
      </c>
      <c r="F6" s="1">
        <v>0.65300000000000002</v>
      </c>
      <c r="G6" s="1">
        <v>2.13</v>
      </c>
      <c r="H6" s="1">
        <v>2.33</v>
      </c>
      <c r="I6" s="1">
        <v>0.39800000000000002</v>
      </c>
      <c r="L6" t="s">
        <v>17</v>
      </c>
      <c r="M6">
        <v>1100000000000</v>
      </c>
      <c r="N6">
        <v>311000000000</v>
      </c>
      <c r="O6">
        <v>5400000000000</v>
      </c>
      <c r="P6">
        <v>0.65300000000000002</v>
      </c>
      <c r="Q6">
        <v>2.13</v>
      </c>
      <c r="R6">
        <v>2.33</v>
      </c>
      <c r="S6">
        <v>0.39800000000000002</v>
      </c>
    </row>
    <row r="7" spans="1:19">
      <c r="A7" t="s">
        <v>20</v>
      </c>
      <c r="B7" s="4">
        <v>1200000000000</v>
      </c>
      <c r="C7" s="23">
        <v>330000000000</v>
      </c>
      <c r="D7" s="26">
        <v>5400000000000</v>
      </c>
      <c r="E7" t="s">
        <v>20</v>
      </c>
      <c r="F7" s="1">
        <v>0.65900000000000003</v>
      </c>
      <c r="G7" s="1">
        <v>1.83</v>
      </c>
      <c r="H7" s="1">
        <v>2.39</v>
      </c>
      <c r="I7" s="1">
        <v>0.395666666666667</v>
      </c>
      <c r="L7" t="s">
        <v>20</v>
      </c>
      <c r="M7">
        <v>1200000000000</v>
      </c>
      <c r="N7">
        <v>330000000000</v>
      </c>
      <c r="O7">
        <v>5400000000000</v>
      </c>
      <c r="P7">
        <v>0.65900000000000003</v>
      </c>
      <c r="Q7">
        <v>1.83</v>
      </c>
      <c r="R7">
        <v>2.39</v>
      </c>
      <c r="S7">
        <v>0.395666666666667</v>
      </c>
    </row>
    <row r="8" spans="1:19">
      <c r="A8" t="s">
        <v>86</v>
      </c>
      <c r="B8" s="4">
        <v>1200000000000</v>
      </c>
      <c r="C8" s="23">
        <v>330000000000</v>
      </c>
      <c r="D8" s="22">
        <v>5500000000000</v>
      </c>
      <c r="E8" t="s">
        <v>86</v>
      </c>
      <c r="F8" s="1">
        <v>0.66100000000000003</v>
      </c>
      <c r="G8" s="1">
        <v>1.73</v>
      </c>
      <c r="H8" s="1">
        <v>2.41</v>
      </c>
      <c r="I8" s="1">
        <v>0.394666666666667</v>
      </c>
      <c r="L8" t="s">
        <v>86</v>
      </c>
      <c r="M8">
        <v>1200000000000</v>
      </c>
      <c r="N8">
        <v>330000000000</v>
      </c>
      <c r="O8">
        <v>5500000000000</v>
      </c>
      <c r="P8">
        <v>0.66100000000000003</v>
      </c>
      <c r="Q8">
        <v>1.73</v>
      </c>
      <c r="R8">
        <v>2.41</v>
      </c>
      <c r="S8">
        <v>0.394666666666667</v>
      </c>
    </row>
    <row r="9" spans="1:19">
      <c r="A9" t="s">
        <v>87</v>
      </c>
      <c r="B9" s="4">
        <v>1300000000000</v>
      </c>
      <c r="C9" s="23">
        <v>330000000000</v>
      </c>
      <c r="D9" s="1">
        <v>5200000000000</v>
      </c>
      <c r="E9" t="s">
        <v>87</v>
      </c>
      <c r="F9" s="1">
        <v>0.66300000000000003</v>
      </c>
      <c r="G9" s="1">
        <v>1.63</v>
      </c>
      <c r="H9" s="1">
        <v>2.4300000000000002</v>
      </c>
      <c r="I9" s="1">
        <v>0.393666666666667</v>
      </c>
      <c r="L9" t="s">
        <v>87</v>
      </c>
      <c r="M9">
        <v>1300000000000</v>
      </c>
      <c r="N9">
        <v>330000000000</v>
      </c>
      <c r="O9">
        <v>5200000000000</v>
      </c>
      <c r="P9">
        <v>0.66300000000000003</v>
      </c>
      <c r="Q9">
        <v>1.63</v>
      </c>
      <c r="R9">
        <v>2.4300000000000002</v>
      </c>
      <c r="S9">
        <v>0.393666666666667</v>
      </c>
    </row>
    <row r="10" spans="1:19">
      <c r="A10" t="s">
        <v>93</v>
      </c>
      <c r="B10" s="4">
        <v>1300000000000</v>
      </c>
      <c r="C10" s="23">
        <v>330000000000</v>
      </c>
      <c r="D10" s="21">
        <v>5300000000000</v>
      </c>
      <c r="E10" t="s">
        <v>93</v>
      </c>
      <c r="F10" s="1">
        <v>0.66500000000000004</v>
      </c>
      <c r="G10" s="1">
        <v>1.53</v>
      </c>
      <c r="H10" s="1">
        <v>2.4500000000000002</v>
      </c>
      <c r="I10" s="1">
        <v>0.392666666666667</v>
      </c>
      <c r="L10" t="s">
        <v>93</v>
      </c>
      <c r="M10">
        <v>1300000000000</v>
      </c>
      <c r="N10">
        <v>330000000000</v>
      </c>
      <c r="O10">
        <v>5300000000000</v>
      </c>
      <c r="P10">
        <v>0.66500000000000004</v>
      </c>
      <c r="Q10">
        <v>1.53</v>
      </c>
      <c r="R10">
        <v>2.4500000000000002</v>
      </c>
      <c r="S10">
        <v>0.392666666666667</v>
      </c>
    </row>
    <row r="11" spans="1:19">
      <c r="A11" t="s">
        <v>94</v>
      </c>
      <c r="B11" s="4">
        <v>1300000000000</v>
      </c>
      <c r="C11" s="23">
        <v>330000000000</v>
      </c>
      <c r="D11" s="26">
        <v>5400000000000</v>
      </c>
      <c r="E11" t="s">
        <v>94</v>
      </c>
      <c r="F11" s="1">
        <v>0.66700000000000004</v>
      </c>
      <c r="G11" s="1">
        <v>1.43</v>
      </c>
      <c r="H11" s="1">
        <v>2.4700000000000002</v>
      </c>
      <c r="I11" s="1">
        <v>0.391666666666667</v>
      </c>
      <c r="L11" t="s">
        <v>94</v>
      </c>
      <c r="M11">
        <v>1300000000000</v>
      </c>
      <c r="N11">
        <v>330000000000</v>
      </c>
      <c r="O11">
        <v>5400000000000</v>
      </c>
      <c r="P11">
        <v>0.66700000000000004</v>
      </c>
      <c r="Q11">
        <v>1.43</v>
      </c>
      <c r="R11">
        <v>2.4700000000000002</v>
      </c>
      <c r="S11">
        <v>0.391666666666667</v>
      </c>
    </row>
    <row r="12" spans="1:19">
      <c r="A12" t="s">
        <v>96</v>
      </c>
      <c r="B12" s="4">
        <v>1300000000000</v>
      </c>
      <c r="C12" s="23">
        <v>330000000000</v>
      </c>
      <c r="D12" s="21">
        <v>5300000000000</v>
      </c>
      <c r="E12" t="s">
        <v>96</v>
      </c>
      <c r="F12" s="1">
        <v>0.67100000000000004</v>
      </c>
      <c r="G12" s="1">
        <v>1.23</v>
      </c>
      <c r="H12" s="1">
        <v>2.5099999999999998</v>
      </c>
      <c r="I12" s="1">
        <v>0.38966666666666699</v>
      </c>
      <c r="L12" t="s">
        <v>96</v>
      </c>
      <c r="M12">
        <v>1300000000000</v>
      </c>
      <c r="N12">
        <v>330000000000</v>
      </c>
      <c r="O12">
        <v>5300000000000</v>
      </c>
      <c r="P12">
        <v>0.67100000000000004</v>
      </c>
      <c r="Q12">
        <v>1.23</v>
      </c>
      <c r="R12">
        <v>2.5099999999999998</v>
      </c>
      <c r="S12">
        <v>0.38966666666666699</v>
      </c>
    </row>
    <row r="17" spans="12:23">
      <c r="L17" t="s">
        <v>215</v>
      </c>
      <c r="M17" t="s">
        <v>211</v>
      </c>
      <c r="N17" t="s">
        <v>211</v>
      </c>
      <c r="O17" t="s">
        <v>210</v>
      </c>
      <c r="P17" t="s">
        <v>216</v>
      </c>
      <c r="Q17" t="s">
        <v>217</v>
      </c>
      <c r="R17" t="s">
        <v>218</v>
      </c>
      <c r="S17" t="s">
        <v>219</v>
      </c>
      <c r="T17" t="s">
        <v>221</v>
      </c>
      <c r="U17" t="s">
        <v>221</v>
      </c>
      <c r="V17" t="s">
        <v>221</v>
      </c>
      <c r="W17" t="s">
        <v>221</v>
      </c>
    </row>
    <row r="18" spans="12:23">
      <c r="L18" t="s">
        <v>220</v>
      </c>
      <c r="M18" t="s">
        <v>113</v>
      </c>
      <c r="N18" t="s">
        <v>108</v>
      </c>
      <c r="O18" t="s">
        <v>106</v>
      </c>
      <c r="P18" t="s">
        <v>68</v>
      </c>
      <c r="Q18" t="s">
        <v>74</v>
      </c>
      <c r="R18" t="s">
        <v>84</v>
      </c>
      <c r="S18" t="s">
        <v>85</v>
      </c>
      <c r="T18" t="s">
        <v>226</v>
      </c>
      <c r="U18" t="s">
        <v>227</v>
      </c>
      <c r="V18" t="s">
        <v>228</v>
      </c>
      <c r="W18" t="s">
        <v>229</v>
      </c>
    </row>
    <row r="19" spans="12:23">
      <c r="L19" t="s">
        <v>15</v>
      </c>
      <c r="M19">
        <v>1100000000000</v>
      </c>
      <c r="N19">
        <v>311000000000</v>
      </c>
      <c r="O19">
        <v>5200000000000</v>
      </c>
      <c r="P19">
        <v>0.64900000000000002</v>
      </c>
      <c r="Q19">
        <v>2.33</v>
      </c>
      <c r="R19">
        <v>2.29</v>
      </c>
      <c r="S19">
        <v>0.4</v>
      </c>
      <c r="T19">
        <v>1</v>
      </c>
      <c r="U19">
        <v>0</v>
      </c>
      <c r="V19">
        <v>0</v>
      </c>
      <c r="W19">
        <v>0</v>
      </c>
    </row>
    <row r="20" spans="12:23">
      <c r="L20" t="s">
        <v>17</v>
      </c>
      <c r="M20">
        <v>1100000000000</v>
      </c>
      <c r="N20">
        <v>311000000000</v>
      </c>
      <c r="O20">
        <v>5400000000000</v>
      </c>
      <c r="P20">
        <v>0.65300000000000002</v>
      </c>
      <c r="Q20">
        <v>2.13</v>
      </c>
      <c r="R20">
        <v>2.33</v>
      </c>
      <c r="S20">
        <v>0.39800000000000002</v>
      </c>
      <c r="T20">
        <v>1</v>
      </c>
      <c r="U20">
        <v>0</v>
      </c>
      <c r="V20">
        <v>0</v>
      </c>
      <c r="W20">
        <v>0</v>
      </c>
    </row>
    <row r="21" spans="12:23">
      <c r="L21" t="s">
        <v>20</v>
      </c>
      <c r="M21">
        <v>1200000000000</v>
      </c>
      <c r="N21">
        <v>330000000000</v>
      </c>
      <c r="O21">
        <v>5400000000000</v>
      </c>
      <c r="P21">
        <v>0.65900000000000003</v>
      </c>
      <c r="Q21">
        <v>1.83</v>
      </c>
      <c r="R21">
        <v>2.39</v>
      </c>
      <c r="S21">
        <v>0.395666666666667</v>
      </c>
      <c r="T21">
        <v>0</v>
      </c>
      <c r="U21">
        <v>0</v>
      </c>
      <c r="V21">
        <v>0</v>
      </c>
      <c r="W21">
        <v>1</v>
      </c>
    </row>
    <row r="22" spans="12:23">
      <c r="L22" t="s">
        <v>86</v>
      </c>
      <c r="M22">
        <v>1200000000000</v>
      </c>
      <c r="N22">
        <v>330000000000</v>
      </c>
      <c r="O22">
        <v>5500000000000</v>
      </c>
      <c r="P22">
        <v>0.66100000000000003</v>
      </c>
      <c r="Q22">
        <v>1.73</v>
      </c>
      <c r="R22">
        <v>2.41</v>
      </c>
      <c r="S22">
        <v>0.394666666666667</v>
      </c>
      <c r="T22">
        <v>0</v>
      </c>
      <c r="U22">
        <v>0</v>
      </c>
      <c r="V22">
        <v>0</v>
      </c>
      <c r="W22">
        <v>1</v>
      </c>
    </row>
    <row r="23" spans="12:23">
      <c r="L23" t="s">
        <v>87</v>
      </c>
      <c r="M23">
        <v>1300000000000</v>
      </c>
      <c r="N23">
        <v>330000000000</v>
      </c>
      <c r="O23">
        <v>5200000000000</v>
      </c>
      <c r="P23">
        <v>0.66300000000000003</v>
      </c>
      <c r="Q23">
        <v>1.63</v>
      </c>
      <c r="R23">
        <v>2.4300000000000002</v>
      </c>
      <c r="S23">
        <v>0.393666666666667</v>
      </c>
      <c r="T23">
        <v>0</v>
      </c>
      <c r="U23">
        <v>0</v>
      </c>
      <c r="V23">
        <v>0</v>
      </c>
      <c r="W23">
        <v>0</v>
      </c>
    </row>
    <row r="24" spans="12:23">
      <c r="L24" t="s">
        <v>93</v>
      </c>
      <c r="M24">
        <v>1300000000000</v>
      </c>
      <c r="N24">
        <v>330000000000</v>
      </c>
      <c r="O24">
        <v>5300000000000</v>
      </c>
      <c r="P24">
        <v>0.66500000000000004</v>
      </c>
      <c r="Q24">
        <v>1.53</v>
      </c>
      <c r="R24">
        <v>2.4500000000000002</v>
      </c>
      <c r="S24">
        <v>0.392666666666667</v>
      </c>
      <c r="T24">
        <v>0</v>
      </c>
      <c r="U24">
        <v>0</v>
      </c>
      <c r="V24">
        <v>0</v>
      </c>
      <c r="W24">
        <v>0</v>
      </c>
    </row>
    <row r="25" spans="12:23">
      <c r="L25" t="s">
        <v>94</v>
      </c>
      <c r="M25">
        <v>1300000000000</v>
      </c>
      <c r="N25">
        <v>330000000000</v>
      </c>
      <c r="O25">
        <v>5400000000000</v>
      </c>
      <c r="P25">
        <v>0.66700000000000004</v>
      </c>
      <c r="Q25">
        <v>1.43</v>
      </c>
      <c r="R25">
        <v>2.4700000000000002</v>
      </c>
      <c r="S25">
        <v>0.391666666666667</v>
      </c>
      <c r="T25">
        <v>0</v>
      </c>
      <c r="U25">
        <v>0</v>
      </c>
      <c r="V25">
        <v>0</v>
      </c>
      <c r="W25">
        <v>0</v>
      </c>
    </row>
    <row r="26" spans="12:23">
      <c r="L26" t="s">
        <v>96</v>
      </c>
      <c r="M26">
        <v>1300000000000</v>
      </c>
      <c r="N26">
        <v>330000000000</v>
      </c>
      <c r="O26">
        <v>5300000000000</v>
      </c>
      <c r="P26">
        <v>0.67100000000000004</v>
      </c>
      <c r="Q26">
        <v>1.23</v>
      </c>
      <c r="R26">
        <v>2.5099999999999998</v>
      </c>
      <c r="S26">
        <v>0.38966666666666699</v>
      </c>
      <c r="T26">
        <v>0</v>
      </c>
      <c r="U26">
        <v>0</v>
      </c>
      <c r="V26">
        <v>0</v>
      </c>
      <c r="W26">
        <v>0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71BFF-18D8-46E3-850A-7F31A78F47BB}">
  <sheetPr codeName="Sheet5"/>
  <dimension ref="B1:J9"/>
  <sheetViews>
    <sheetView workbookViewId="0">
      <selection activeCell="B3" sqref="B3"/>
    </sheetView>
  </sheetViews>
  <sheetFormatPr defaultRowHeight="18.75"/>
  <cols>
    <col min="2" max="2" width="11.875" customWidth="1"/>
  </cols>
  <sheetData>
    <row r="1" spans="2:10">
      <c r="B1" t="s">
        <v>137</v>
      </c>
    </row>
    <row r="2" spans="2:10">
      <c r="C2" t="s">
        <v>128</v>
      </c>
      <c r="D2" t="s">
        <v>128</v>
      </c>
      <c r="E2" t="s">
        <v>128</v>
      </c>
      <c r="F2" t="s">
        <v>129</v>
      </c>
      <c r="G2" t="s">
        <v>128</v>
      </c>
      <c r="H2" t="s">
        <v>129</v>
      </c>
      <c r="I2" t="s">
        <v>128</v>
      </c>
      <c r="J2" t="s">
        <v>128</v>
      </c>
    </row>
    <row r="3" spans="2:10">
      <c r="B3" s="2" t="s">
        <v>12</v>
      </c>
      <c r="C3" s="2" t="s">
        <v>103</v>
      </c>
      <c r="D3" s="2" t="s">
        <v>104</v>
      </c>
      <c r="E3" s="2" t="s">
        <v>105</v>
      </c>
      <c r="F3" s="2" t="s">
        <v>106</v>
      </c>
      <c r="G3" s="2" t="s">
        <v>107</v>
      </c>
      <c r="H3" s="2" t="s">
        <v>108</v>
      </c>
      <c r="I3" s="2" t="s">
        <v>109</v>
      </c>
      <c r="J3" s="2" t="s">
        <v>110</v>
      </c>
    </row>
    <row r="4" spans="2:10">
      <c r="B4" s="2" t="s">
        <v>138</v>
      </c>
      <c r="C4" s="1">
        <v>1100000000000</v>
      </c>
      <c r="D4" s="1">
        <v>200000000000</v>
      </c>
      <c r="E4" s="2">
        <v>1</v>
      </c>
      <c r="F4" s="1">
        <v>5200000000000</v>
      </c>
      <c r="G4" s="2">
        <v>1</v>
      </c>
      <c r="H4">
        <f>311000000000</f>
        <v>311000000000</v>
      </c>
      <c r="I4" s="2">
        <v>-1.1000000000000001</v>
      </c>
      <c r="J4" s="2">
        <v>2</v>
      </c>
    </row>
    <row r="5" spans="2:10">
      <c r="B5" s="2" t="s">
        <v>139</v>
      </c>
      <c r="C5" s="1">
        <v>1100000000000</v>
      </c>
      <c r="D5" s="1">
        <v>200000000000</v>
      </c>
      <c r="E5" s="2">
        <v>1</v>
      </c>
      <c r="F5" s="21">
        <v>5300000000000</v>
      </c>
      <c r="G5" s="18">
        <v>2</v>
      </c>
      <c r="H5">
        <f>311000000000</f>
        <v>311000000000</v>
      </c>
      <c r="I5" s="2">
        <v>-1.1000000000000001</v>
      </c>
      <c r="J5" s="2">
        <v>2</v>
      </c>
    </row>
    <row r="6" spans="2:10">
      <c r="B6" s="2" t="s">
        <v>140</v>
      </c>
      <c r="C6" s="1">
        <v>1100000000000</v>
      </c>
      <c r="D6" s="1">
        <v>200000000000</v>
      </c>
      <c r="E6" s="2">
        <v>1</v>
      </c>
      <c r="F6" s="26">
        <v>5400000000000</v>
      </c>
      <c r="G6">
        <v>3</v>
      </c>
      <c r="H6">
        <f>311000000000</f>
        <v>311000000000</v>
      </c>
      <c r="I6" s="17">
        <v>-1.2</v>
      </c>
      <c r="J6" s="2">
        <v>2</v>
      </c>
    </row>
    <row r="7" spans="2:10">
      <c r="B7" s="2" t="s">
        <v>141</v>
      </c>
      <c r="C7" s="4">
        <v>1200000000000</v>
      </c>
      <c r="D7" s="1">
        <v>200000000000</v>
      </c>
      <c r="E7" s="2">
        <v>1</v>
      </c>
      <c r="F7" s="1">
        <v>5200000000000</v>
      </c>
      <c r="G7" s="2">
        <v>1</v>
      </c>
      <c r="H7" s="23">
        <v>330000000000</v>
      </c>
      <c r="I7" s="17">
        <v>-1.2</v>
      </c>
      <c r="J7" s="2">
        <v>2</v>
      </c>
    </row>
    <row r="8" spans="2:10">
      <c r="B8" s="2" t="s">
        <v>142</v>
      </c>
      <c r="C8" s="4">
        <v>1200000000000</v>
      </c>
      <c r="D8" s="1">
        <v>200000000000</v>
      </c>
      <c r="E8" s="2">
        <v>1</v>
      </c>
      <c r="F8" s="21">
        <v>5300000000000</v>
      </c>
      <c r="G8" s="18">
        <v>2</v>
      </c>
      <c r="H8" s="23">
        <v>330000000000</v>
      </c>
      <c r="I8" s="17">
        <v>-1.2</v>
      </c>
      <c r="J8" s="2">
        <v>2</v>
      </c>
    </row>
    <row r="9" spans="2:10">
      <c r="B9" s="2" t="s">
        <v>143</v>
      </c>
      <c r="C9" s="4">
        <v>1200000000000</v>
      </c>
      <c r="D9" s="1">
        <v>200000000000</v>
      </c>
      <c r="E9" s="2">
        <v>1</v>
      </c>
      <c r="F9" s="26">
        <v>5400000000000</v>
      </c>
      <c r="G9" s="19">
        <v>3</v>
      </c>
      <c r="H9" s="23">
        <v>330000000000</v>
      </c>
      <c r="I9" s="17">
        <v>-1.2</v>
      </c>
      <c r="J9" s="2">
        <v>2</v>
      </c>
    </row>
  </sheetData>
  <phoneticPr fontId="1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1556-0A8D-4847-A726-78F3672B500A}">
  <sheetPr codeName="Sheet16"/>
  <dimension ref="A1:Z78"/>
  <sheetViews>
    <sheetView topLeftCell="A10" zoomScale="85" zoomScaleNormal="85" workbookViewId="0">
      <selection activeCell="A2" sqref="A2"/>
    </sheetView>
  </sheetViews>
  <sheetFormatPr defaultRowHeight="18.75"/>
  <cols>
    <col min="1" max="1" width="10.25" bestFit="1" customWidth="1"/>
    <col min="2" max="2" width="11.875" bestFit="1" customWidth="1"/>
    <col min="3" max="5" width="11.25" bestFit="1" customWidth="1"/>
    <col min="6" max="6" width="11.375" bestFit="1" customWidth="1"/>
    <col min="7" max="7" width="10.5" bestFit="1" customWidth="1"/>
    <col min="8" max="8" width="10" bestFit="1" customWidth="1"/>
    <col min="9" max="9" width="11.125" bestFit="1" customWidth="1"/>
    <col min="22" max="22" width="10.875" customWidth="1"/>
  </cols>
  <sheetData>
    <row r="1" spans="1:26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  <c r="L1" t="s">
        <v>163</v>
      </c>
      <c r="V1" t="s">
        <v>201</v>
      </c>
      <c r="W1" t="s">
        <v>194</v>
      </c>
      <c r="X1" t="s">
        <v>195</v>
      </c>
    </row>
    <row r="2" spans="1:26">
      <c r="A2" s="2" t="s">
        <v>138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  <c r="L2" t="s">
        <v>191</v>
      </c>
      <c r="T2" t="s">
        <v>192</v>
      </c>
    </row>
    <row r="3" spans="1:26">
      <c r="A3" s="2" t="s">
        <v>139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  <c r="L3" s="5" t="s">
        <v>21</v>
      </c>
      <c r="M3" t="s">
        <v>69</v>
      </c>
      <c r="T3" s="5" t="s">
        <v>21</v>
      </c>
      <c r="U3" t="s">
        <v>69</v>
      </c>
    </row>
    <row r="4" spans="1:26">
      <c r="A4" s="2" t="s">
        <v>140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  <c r="L4" t="s">
        <v>15</v>
      </c>
      <c r="M4" s="1">
        <v>0.64900000000000002</v>
      </c>
      <c r="N4" s="1">
        <v>0.67500000000000004</v>
      </c>
      <c r="T4" t="s">
        <v>15</v>
      </c>
      <c r="U4" s="1">
        <v>0.64900000000000002</v>
      </c>
      <c r="V4" s="1">
        <v>0.65500000000000003</v>
      </c>
      <c r="W4" s="1">
        <v>1.4999999999999999E-2</v>
      </c>
      <c r="X4" s="1">
        <v>0.01</v>
      </c>
      <c r="Z4" t="s">
        <v>198</v>
      </c>
    </row>
    <row r="5" spans="1:26">
      <c r="A5" s="2" t="s">
        <v>141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  <c r="L5" t="s">
        <v>16</v>
      </c>
      <c r="M5" s="1">
        <v>0.65100000000000002</v>
      </c>
      <c r="N5" s="1">
        <v>0.67500000000000004</v>
      </c>
      <c r="T5" t="s">
        <v>16</v>
      </c>
      <c r="U5" s="1">
        <v>0.65100000000000002</v>
      </c>
      <c r="V5" s="1">
        <v>0.65500000000000003</v>
      </c>
      <c r="W5" s="1">
        <v>1.4999999999999999E-2</v>
      </c>
      <c r="X5" s="1">
        <v>0.01</v>
      </c>
      <c r="Z5" t="s">
        <v>199</v>
      </c>
    </row>
    <row r="6" spans="1:26">
      <c r="A6" s="2" t="s">
        <v>142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  <c r="L6" t="s">
        <v>17</v>
      </c>
      <c r="M6" s="1">
        <v>0.65300000000000002</v>
      </c>
      <c r="N6" s="1">
        <v>0.67500000000000004</v>
      </c>
      <c r="T6" t="s">
        <v>17</v>
      </c>
      <c r="U6" s="1">
        <v>0.65300000000000002</v>
      </c>
      <c r="V6" s="1">
        <v>0.65500000000000003</v>
      </c>
      <c r="W6" s="1">
        <v>1.4999999999999999E-2</v>
      </c>
      <c r="X6" s="1">
        <v>0.01</v>
      </c>
      <c r="Z6" t="s">
        <v>200</v>
      </c>
    </row>
    <row r="7" spans="1:26">
      <c r="A7" s="2" t="s">
        <v>143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  <c r="L7" t="s">
        <v>18</v>
      </c>
      <c r="M7" s="1">
        <v>0.65500000000000003</v>
      </c>
      <c r="N7" s="1">
        <v>0.67500000000000004</v>
      </c>
      <c r="T7" t="s">
        <v>18</v>
      </c>
      <c r="U7" s="1">
        <v>0.65500000000000003</v>
      </c>
      <c r="V7" s="1">
        <v>0.65500000000000003</v>
      </c>
      <c r="W7" s="1">
        <v>1.4999999999999999E-2</v>
      </c>
      <c r="X7" s="1">
        <v>0.01</v>
      </c>
    </row>
    <row r="8" spans="1:26">
      <c r="L8" t="s">
        <v>19</v>
      </c>
      <c r="M8" s="1">
        <v>0.65700000000000003</v>
      </c>
      <c r="T8" t="s">
        <v>19</v>
      </c>
      <c r="U8" s="1">
        <v>0.65700000000000003</v>
      </c>
      <c r="V8" s="1">
        <v>0.65500000000000003</v>
      </c>
      <c r="W8" s="1">
        <v>1.4999999999999999E-2</v>
      </c>
      <c r="X8" s="1">
        <v>0.01</v>
      </c>
    </row>
    <row r="9" spans="1:26">
      <c r="L9" t="s">
        <v>20</v>
      </c>
      <c r="M9" s="1">
        <v>0.65900000000000003</v>
      </c>
      <c r="T9" t="s">
        <v>20</v>
      </c>
      <c r="U9" s="1">
        <v>0.65900000000000003</v>
      </c>
      <c r="V9" s="1">
        <v>0.65500000000000003</v>
      </c>
      <c r="W9" s="1">
        <v>1.4999999999999999E-2</v>
      </c>
      <c r="X9" s="1">
        <v>0.01</v>
      </c>
    </row>
    <row r="10" spans="1:26">
      <c r="E10" s="5" t="s">
        <v>21</v>
      </c>
      <c r="F10" t="s">
        <v>69</v>
      </c>
      <c r="L10" t="s">
        <v>93</v>
      </c>
      <c r="M10" s="1">
        <v>0.66500000000000004</v>
      </c>
      <c r="T10" t="s">
        <v>93</v>
      </c>
      <c r="U10" s="1">
        <v>0.66500000000000004</v>
      </c>
      <c r="V10" s="1">
        <v>0.65500000000000003</v>
      </c>
      <c r="W10" s="1">
        <v>1.4999999999999999E-2</v>
      </c>
      <c r="X10" s="1">
        <v>0.01</v>
      </c>
    </row>
    <row r="11" spans="1:26">
      <c r="E11" t="s">
        <v>15</v>
      </c>
      <c r="F11" s="37">
        <v>20</v>
      </c>
      <c r="G11" s="1"/>
      <c r="L11" t="s">
        <v>94</v>
      </c>
      <c r="M11" s="1">
        <v>0.66700000000000004</v>
      </c>
      <c r="N11" s="1">
        <v>0.67500000000000004</v>
      </c>
      <c r="O11" s="1"/>
      <c r="T11" t="s">
        <v>94</v>
      </c>
      <c r="U11" s="1">
        <v>0.66700000000000004</v>
      </c>
      <c r="V11" s="1">
        <v>0.65500000000000003</v>
      </c>
      <c r="W11" s="1">
        <v>1.4999999999999999E-2</v>
      </c>
      <c r="X11" s="1">
        <v>0.01</v>
      </c>
    </row>
    <row r="12" spans="1:26">
      <c r="E12" t="s">
        <v>16</v>
      </c>
      <c r="F12" s="37">
        <v>25</v>
      </c>
      <c r="G12" s="1"/>
      <c r="L12" t="s">
        <v>95</v>
      </c>
      <c r="M12" s="1">
        <v>0.66900000000000004</v>
      </c>
      <c r="N12" s="1">
        <v>0.67500000000000004</v>
      </c>
      <c r="O12" s="1"/>
      <c r="T12" t="s">
        <v>95</v>
      </c>
      <c r="U12" s="1">
        <v>0.66900000000000004</v>
      </c>
      <c r="V12" s="1">
        <v>0.65500000000000003</v>
      </c>
      <c r="W12" s="1">
        <v>1.4999999999999999E-2</v>
      </c>
      <c r="X12" s="1">
        <v>0.01</v>
      </c>
    </row>
    <row r="13" spans="1:26">
      <c r="E13" t="s">
        <v>17</v>
      </c>
      <c r="F13" s="37">
        <v>40</v>
      </c>
      <c r="G13" s="1"/>
      <c r="L13" t="s">
        <v>96</v>
      </c>
      <c r="M13" s="1">
        <v>0.67100000000000004</v>
      </c>
      <c r="N13" s="1">
        <v>0.67500000000000004</v>
      </c>
      <c r="T13" t="s">
        <v>96</v>
      </c>
      <c r="U13" s="1">
        <v>0.67100000000000004</v>
      </c>
      <c r="V13" s="1">
        <v>0.65500000000000003</v>
      </c>
      <c r="W13" s="1">
        <v>1.4999999999999999E-2</v>
      </c>
      <c r="X13" s="1">
        <v>0.01</v>
      </c>
    </row>
    <row r="14" spans="1:26">
      <c r="E14" t="s">
        <v>18</v>
      </c>
      <c r="F14" s="37">
        <v>900</v>
      </c>
      <c r="G14" s="1"/>
    </row>
    <row r="15" spans="1:26">
      <c r="E15" t="s">
        <v>19</v>
      </c>
      <c r="F15" s="37">
        <v>160</v>
      </c>
    </row>
    <row r="16" spans="1:26">
      <c r="E16" t="s">
        <v>20</v>
      </c>
      <c r="F16" s="37">
        <v>300</v>
      </c>
    </row>
    <row r="17" spans="5:20">
      <c r="E17" t="s">
        <v>93</v>
      </c>
      <c r="F17" s="37">
        <v>1000</v>
      </c>
    </row>
    <row r="18" spans="5:20">
      <c r="E18" t="s">
        <v>94</v>
      </c>
      <c r="F18" s="37">
        <v>15000</v>
      </c>
      <c r="G18" s="1"/>
    </row>
    <row r="19" spans="5:20">
      <c r="F19" s="37"/>
      <c r="G19" s="1"/>
    </row>
    <row r="20" spans="5:20">
      <c r="F20" s="37"/>
      <c r="G20" s="1"/>
    </row>
    <row r="27" spans="5:20">
      <c r="L27" t="s">
        <v>188</v>
      </c>
      <c r="T27" t="s">
        <v>196</v>
      </c>
    </row>
    <row r="28" spans="5:20">
      <c r="L28" t="s">
        <v>189</v>
      </c>
      <c r="T28" t="s">
        <v>203</v>
      </c>
    </row>
    <row r="29" spans="5:20">
      <c r="L29" t="s">
        <v>193</v>
      </c>
    </row>
    <row r="30" spans="5:20">
      <c r="L30" t="s">
        <v>190</v>
      </c>
    </row>
    <row r="31" spans="5:20">
      <c r="L31" t="s">
        <v>197</v>
      </c>
    </row>
    <row r="32" spans="5:20">
      <c r="L32" t="s">
        <v>202</v>
      </c>
    </row>
    <row r="34" spans="5:16">
      <c r="E34" t="s">
        <v>204</v>
      </c>
      <c r="K34" s="32"/>
      <c r="L34" s="32"/>
      <c r="M34" s="32"/>
      <c r="N34" s="32"/>
      <c r="O34" s="32"/>
      <c r="P34" s="32"/>
    </row>
    <row r="35" spans="5:16">
      <c r="E35" t="s">
        <v>205</v>
      </c>
      <c r="K35" s="33"/>
      <c r="L35" s="33"/>
      <c r="M35" s="33"/>
      <c r="N35" s="33"/>
      <c r="O35" s="33"/>
      <c r="P35" s="33"/>
    </row>
    <row r="36" spans="5:16">
      <c r="E36" t="s">
        <v>206</v>
      </c>
      <c r="K36" s="36"/>
      <c r="L36" s="36"/>
      <c r="M36" s="36"/>
      <c r="N36" s="36"/>
      <c r="O36" s="36"/>
      <c r="P36" s="36"/>
    </row>
    <row r="37" spans="5:16">
      <c r="E37" t="s">
        <v>207</v>
      </c>
      <c r="K37" s="36"/>
      <c r="L37" s="36"/>
      <c r="M37" s="36"/>
      <c r="N37" s="36"/>
      <c r="O37" s="36"/>
      <c r="P37" s="36"/>
    </row>
    <row r="38" spans="5:16">
      <c r="K38" s="36"/>
      <c r="L38" s="36"/>
      <c r="M38" s="36"/>
      <c r="N38" s="36"/>
      <c r="O38" s="36"/>
      <c r="P38" s="36"/>
    </row>
    <row r="55" spans="11:17">
      <c r="Q55" s="34"/>
    </row>
    <row r="56" spans="11:17">
      <c r="Q56" s="34"/>
    </row>
    <row r="57" spans="11:17">
      <c r="Q57" s="34"/>
    </row>
    <row r="58" spans="11:17">
      <c r="Q58" s="34"/>
    </row>
    <row r="59" spans="11:17">
      <c r="K59" s="34"/>
      <c r="L59" s="34"/>
      <c r="M59" s="34"/>
      <c r="N59" s="34"/>
      <c r="O59" s="34"/>
      <c r="P59" s="34"/>
      <c r="Q59" s="34"/>
    </row>
    <row r="60" spans="11:17">
      <c r="K60" s="34"/>
      <c r="L60" s="34"/>
      <c r="M60" s="34"/>
      <c r="N60" s="34"/>
      <c r="O60" s="34"/>
      <c r="P60" s="34"/>
      <c r="Q60" s="34"/>
    </row>
    <row r="61" spans="11:17">
      <c r="K61" s="34"/>
      <c r="L61" s="34"/>
      <c r="M61" s="34"/>
      <c r="N61" s="34"/>
      <c r="O61" s="34"/>
      <c r="P61" s="34"/>
      <c r="Q61" s="34"/>
    </row>
    <row r="62" spans="11:17">
      <c r="K62" s="34"/>
      <c r="L62" s="34"/>
      <c r="M62" s="34"/>
      <c r="N62" s="34"/>
      <c r="O62" s="34"/>
      <c r="P62" s="34"/>
      <c r="Q62" s="34"/>
    </row>
    <row r="63" spans="11:17">
      <c r="K63" s="34"/>
      <c r="L63" s="34"/>
      <c r="M63" s="34"/>
      <c r="N63" s="34"/>
      <c r="O63" s="34"/>
      <c r="P63" s="34"/>
      <c r="Q63" s="34"/>
    </row>
    <row r="64" spans="11:17">
      <c r="K64" s="34"/>
      <c r="L64" s="34"/>
      <c r="M64" s="34"/>
      <c r="N64" s="34"/>
      <c r="O64" s="34"/>
      <c r="P64" s="34"/>
      <c r="Q64" s="34"/>
    </row>
    <row r="65" spans="11:17">
      <c r="K65" s="34"/>
      <c r="L65" s="34"/>
      <c r="M65" s="34"/>
      <c r="N65" s="34"/>
      <c r="O65" s="34"/>
      <c r="P65" s="34"/>
      <c r="Q65" s="34"/>
    </row>
    <row r="66" spans="11:17">
      <c r="K66" s="34"/>
      <c r="L66" s="34"/>
      <c r="M66" s="34"/>
      <c r="N66" s="34"/>
      <c r="O66" s="34"/>
      <c r="P66" s="34"/>
      <c r="Q66" s="34"/>
    </row>
    <row r="67" spans="11:17">
      <c r="K67" s="34"/>
      <c r="L67" s="34"/>
      <c r="M67" s="34"/>
      <c r="N67" s="34"/>
      <c r="O67" s="34"/>
      <c r="P67" s="34"/>
      <c r="Q67" s="34"/>
    </row>
    <row r="68" spans="11:17">
      <c r="K68" s="34"/>
      <c r="L68" s="34"/>
      <c r="M68" s="34"/>
      <c r="N68" s="34"/>
      <c r="O68" s="34"/>
      <c r="P68" s="34"/>
      <c r="Q68" s="34"/>
    </row>
    <row r="69" spans="11:17">
      <c r="K69" s="34"/>
      <c r="L69" s="34"/>
      <c r="M69" s="34"/>
      <c r="N69" s="34"/>
      <c r="O69" s="34"/>
      <c r="P69" s="34"/>
      <c r="Q69" s="34"/>
    </row>
    <row r="70" spans="11:17">
      <c r="K70" s="34"/>
      <c r="L70" s="34"/>
      <c r="M70" s="34"/>
      <c r="N70" s="34"/>
      <c r="O70" s="34"/>
      <c r="P70" s="34"/>
      <c r="Q70" s="34"/>
    </row>
    <row r="71" spans="11:17">
      <c r="K71" s="34"/>
      <c r="L71" s="34"/>
      <c r="M71" s="34"/>
      <c r="N71" s="34"/>
      <c r="O71" s="34"/>
      <c r="P71" s="34"/>
      <c r="Q71" s="34"/>
    </row>
    <row r="72" spans="11:17">
      <c r="K72" s="34"/>
      <c r="L72" s="34"/>
      <c r="M72" s="34"/>
      <c r="N72" s="34"/>
      <c r="O72" s="34"/>
      <c r="P72" s="34"/>
      <c r="Q72" s="34"/>
    </row>
    <row r="73" spans="11:17">
      <c r="K73" s="34"/>
      <c r="L73" s="34"/>
      <c r="M73" s="34"/>
      <c r="N73" s="34"/>
      <c r="O73" s="34"/>
      <c r="P73" s="34"/>
      <c r="Q73" s="34"/>
    </row>
    <row r="74" spans="11:17">
      <c r="K74" s="34"/>
      <c r="L74" s="34"/>
      <c r="M74" s="34"/>
      <c r="N74" s="34"/>
      <c r="O74" s="34"/>
      <c r="P74" s="34"/>
      <c r="Q74" s="34"/>
    </row>
    <row r="75" spans="11:17">
      <c r="K75" s="34"/>
      <c r="L75" s="34"/>
      <c r="M75" s="34"/>
      <c r="N75" s="34"/>
      <c r="O75" s="34"/>
      <c r="P75" s="34"/>
      <c r="Q75" s="34"/>
    </row>
    <row r="76" spans="11:17">
      <c r="K76" s="34"/>
      <c r="L76" s="34"/>
      <c r="M76" s="34"/>
      <c r="N76" s="34"/>
      <c r="O76" s="34"/>
      <c r="P76" s="34"/>
      <c r="Q76" s="34"/>
    </row>
    <row r="77" spans="11:17">
      <c r="K77" s="34"/>
      <c r="L77" s="34"/>
      <c r="M77" s="34"/>
      <c r="N77" s="34"/>
      <c r="O77" s="34"/>
      <c r="P77" s="34"/>
      <c r="Q77" s="34"/>
    </row>
    <row r="78" spans="11:17">
      <c r="K78" s="34"/>
      <c r="L78" s="34"/>
      <c r="M78" s="34"/>
      <c r="N78" s="34"/>
      <c r="O78" s="34"/>
      <c r="P78" s="34"/>
      <c r="Q78" s="34"/>
    </row>
  </sheetData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DFD-49BB-407A-BDF0-AD84EF1484FC}">
  <sheetPr codeName="Sheet18"/>
  <dimension ref="A1:R10"/>
  <sheetViews>
    <sheetView workbookViewId="0">
      <selection activeCell="A4" sqref="A4"/>
    </sheetView>
  </sheetViews>
  <sheetFormatPr defaultRowHeight="13.5"/>
  <cols>
    <col min="1" max="16384" width="9" style="34"/>
  </cols>
  <sheetData>
    <row r="1" spans="1:18">
      <c r="A1" s="34" t="s">
        <v>178</v>
      </c>
    </row>
    <row r="2" spans="1:18">
      <c r="A2" s="34" t="s">
        <v>179</v>
      </c>
    </row>
    <row r="3" spans="1:18">
      <c r="A3" s="34" t="s">
        <v>187</v>
      </c>
    </row>
    <row r="6" spans="1:18">
      <c r="A6" s="33" t="s">
        <v>164</v>
      </c>
      <c r="B6" s="33" t="s">
        <v>165</v>
      </c>
      <c r="C6" s="33" t="s">
        <v>166</v>
      </c>
      <c r="D6" s="33" t="s">
        <v>167</v>
      </c>
      <c r="E6" s="33" t="s">
        <v>168</v>
      </c>
      <c r="F6" s="33" t="s">
        <v>169</v>
      </c>
      <c r="G6" s="33" t="s">
        <v>170</v>
      </c>
      <c r="H6" s="33" t="s">
        <v>171</v>
      </c>
      <c r="I6" s="33" t="s">
        <v>172</v>
      </c>
      <c r="J6" s="33" t="s">
        <v>173</v>
      </c>
      <c r="K6" s="33" t="s">
        <v>174</v>
      </c>
      <c r="L6" s="33" t="s">
        <v>175</v>
      </c>
      <c r="M6" s="33" t="s">
        <v>176</v>
      </c>
      <c r="R6" s="34" t="s">
        <v>183</v>
      </c>
    </row>
    <row r="7" spans="1:18" ht="18.75">
      <c r="A7" s="35" t="s">
        <v>177</v>
      </c>
      <c r="B7" s="36">
        <v>137000</v>
      </c>
      <c r="C7" s="36">
        <v>165000</v>
      </c>
      <c r="D7" s="36">
        <v>107000</v>
      </c>
      <c r="E7" s="36">
        <v>145000</v>
      </c>
      <c r="F7" s="36">
        <v>190000</v>
      </c>
      <c r="G7" s="36">
        <v>115000</v>
      </c>
      <c r="H7" s="36">
        <v>161000</v>
      </c>
      <c r="I7" s="36">
        <v>131000</v>
      </c>
      <c r="J7" s="36">
        <v>129000</v>
      </c>
      <c r="K7" s="36">
        <v>115000</v>
      </c>
      <c r="L7" s="36">
        <v>183000</v>
      </c>
      <c r="M7" s="36">
        <v>183000</v>
      </c>
      <c r="O7" s="34" t="s">
        <v>182</v>
      </c>
      <c r="R7" s="34" t="s">
        <v>185</v>
      </c>
    </row>
    <row r="8" spans="1:18" ht="18.75">
      <c r="A8" s="35"/>
      <c r="B8" s="36">
        <v>100000</v>
      </c>
      <c r="C8" s="36">
        <v>100000</v>
      </c>
      <c r="D8" s="36">
        <v>100000</v>
      </c>
      <c r="E8" s="36">
        <v>100000</v>
      </c>
      <c r="F8" s="36">
        <v>100000</v>
      </c>
      <c r="G8" s="36">
        <v>100000</v>
      </c>
      <c r="H8" s="36">
        <v>100000</v>
      </c>
      <c r="I8" s="36">
        <v>100000</v>
      </c>
      <c r="J8" s="36">
        <v>100000</v>
      </c>
      <c r="K8" s="36">
        <v>100000</v>
      </c>
      <c r="L8" s="36">
        <v>100000</v>
      </c>
      <c r="M8" s="36">
        <v>100000</v>
      </c>
      <c r="O8" s="34" t="s">
        <v>180</v>
      </c>
      <c r="R8" s="34" t="s">
        <v>184</v>
      </c>
    </row>
    <row r="9" spans="1:18" ht="18.75">
      <c r="A9" s="35"/>
      <c r="B9" s="36">
        <v>50000</v>
      </c>
      <c r="C9" s="36">
        <v>50000</v>
      </c>
      <c r="D9" s="36">
        <v>50000</v>
      </c>
      <c r="E9" s="36">
        <v>50000</v>
      </c>
      <c r="F9" s="36">
        <v>50000</v>
      </c>
      <c r="G9" s="36">
        <v>50000</v>
      </c>
      <c r="H9" s="36">
        <v>50000</v>
      </c>
      <c r="I9" s="36">
        <v>50000</v>
      </c>
      <c r="J9" s="36">
        <v>50000</v>
      </c>
      <c r="K9" s="36">
        <v>50000</v>
      </c>
      <c r="L9" s="36">
        <v>50000</v>
      </c>
      <c r="M9" s="36">
        <v>50000</v>
      </c>
      <c r="O9" s="34" t="s">
        <v>181</v>
      </c>
      <c r="R9" s="34" t="s">
        <v>186</v>
      </c>
    </row>
    <row r="10" spans="1:18" ht="18.75">
      <c r="A10" s="35"/>
      <c r="B10" s="36">
        <v>50000</v>
      </c>
      <c r="C10" s="36">
        <v>50000</v>
      </c>
      <c r="D10" s="36">
        <v>50000</v>
      </c>
      <c r="E10" s="36">
        <v>50000</v>
      </c>
      <c r="F10" s="36">
        <v>50000</v>
      </c>
      <c r="G10" s="36">
        <v>50000</v>
      </c>
      <c r="H10" s="36">
        <v>50000</v>
      </c>
      <c r="I10" s="36">
        <v>50000</v>
      </c>
      <c r="J10" s="36">
        <v>50000</v>
      </c>
      <c r="K10" s="36">
        <v>50000</v>
      </c>
      <c r="L10" s="36">
        <v>50000</v>
      </c>
      <c r="M10" s="36">
        <v>50000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869C-233F-4AFE-A18C-6DC7F0493936}">
  <sheetPr codeName="Sheet19"/>
  <dimension ref="A1:M4"/>
  <sheetViews>
    <sheetView workbookViewId="0">
      <selection sqref="A1:N24"/>
    </sheetView>
  </sheetViews>
  <sheetFormatPr defaultRowHeight="13.5"/>
  <cols>
    <col min="1" max="16384" width="9" style="34"/>
  </cols>
  <sheetData>
    <row r="1" spans="1:13">
      <c r="A1" s="33" t="s">
        <v>164</v>
      </c>
      <c r="B1" s="33" t="s">
        <v>165</v>
      </c>
      <c r="C1" s="33" t="s">
        <v>166</v>
      </c>
      <c r="D1" s="33" t="s">
        <v>167</v>
      </c>
      <c r="E1" s="33" t="s">
        <v>168</v>
      </c>
      <c r="F1" s="33" t="s">
        <v>169</v>
      </c>
      <c r="G1" s="33" t="s">
        <v>170</v>
      </c>
      <c r="H1" s="33" t="s">
        <v>171</v>
      </c>
      <c r="I1" s="33" t="s">
        <v>172</v>
      </c>
      <c r="J1" s="33" t="s">
        <v>173</v>
      </c>
      <c r="K1" s="33" t="s">
        <v>174</v>
      </c>
      <c r="L1" s="33" t="s">
        <v>175</v>
      </c>
      <c r="M1" s="33" t="s">
        <v>176</v>
      </c>
    </row>
    <row r="2" spans="1:13" ht="18.75">
      <c r="A2" s="35" t="s">
        <v>177</v>
      </c>
      <c r="B2" s="36">
        <v>137000</v>
      </c>
      <c r="C2" s="36">
        <v>165000</v>
      </c>
      <c r="D2" s="36">
        <v>107000</v>
      </c>
      <c r="E2" s="36">
        <v>145000</v>
      </c>
      <c r="F2" s="36">
        <v>190000</v>
      </c>
      <c r="G2" s="36">
        <v>115000</v>
      </c>
      <c r="H2" s="36">
        <v>161000</v>
      </c>
      <c r="I2" s="36">
        <v>131000</v>
      </c>
      <c r="J2" s="36">
        <v>129000</v>
      </c>
      <c r="K2" s="36">
        <v>115000</v>
      </c>
      <c r="L2" s="36">
        <v>183000</v>
      </c>
      <c r="M2" s="36">
        <v>183000</v>
      </c>
    </row>
    <row r="3" spans="1:13" ht="18.75">
      <c r="E3" s="36">
        <v>200000</v>
      </c>
      <c r="F3" s="36">
        <v>200000</v>
      </c>
      <c r="G3" s="36">
        <v>200000</v>
      </c>
      <c r="H3" s="36"/>
      <c r="I3" s="36"/>
      <c r="J3" s="36"/>
      <c r="K3" s="36"/>
      <c r="L3" s="36"/>
      <c r="M3" s="36"/>
    </row>
    <row r="4" spans="1:13" ht="18.75">
      <c r="E4" s="36"/>
      <c r="F4" s="36"/>
      <c r="G4" s="36"/>
      <c r="H4" s="36"/>
      <c r="I4" s="36"/>
      <c r="J4" s="36"/>
      <c r="K4" s="36">
        <v>200000</v>
      </c>
      <c r="L4" s="36">
        <v>200000</v>
      </c>
      <c r="M4" s="36">
        <v>200000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グラフ作成</vt:lpstr>
      <vt:lpstr>設定ファイル</vt:lpstr>
      <vt:lpstr>条件表</vt:lpstr>
      <vt:lpstr>DataTable</vt:lpstr>
      <vt:lpstr>bck_DataTable_歯抜けなし</vt:lpstr>
      <vt:lpstr>DataTable_bck</vt:lpstr>
      <vt:lpstr>サマリ</vt:lpstr>
      <vt:lpstr>work_summary</vt:lpstr>
      <vt:lpstr>BCK_サマリ</vt:lpstr>
      <vt:lpstr>散布図</vt:lpstr>
      <vt:lpstr>サマリ対象</vt:lpstr>
      <vt:lpstr>BCK_散布図</vt:lpstr>
      <vt:lpstr>例_散布図</vt:lpstr>
      <vt:lpstr>work_template</vt:lpstr>
      <vt:lpstr>work_jyoken</vt:lpstr>
      <vt:lpstr>work_graph</vt:lpstr>
      <vt:lpstr>work_scatter1</vt:lpstr>
      <vt:lpstr>src_jyoken</vt:lpstr>
      <vt:lpstr>例_グラフ背景塗りつぶし</vt:lpstr>
      <vt:lpstr>例_グラフ背景塗りつぶし_y範囲</vt:lpstr>
      <vt:lpstr>例_グラフ背景塗りつぶし_x範囲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2021-08-30T05:48:45Z</dcterms:modified>
</cp:coreProperties>
</file>