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3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D126E015-9B28-4F2B-AAF4-3927A93DD43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52" r:id="rId4"/>
    <sheet name="bck_DataTable_歯抜けなし" sheetId="59" r:id="rId5"/>
    <sheet name="DataTable_bck" sheetId="58" r:id="rId6"/>
    <sheet name="サマリ" sheetId="16" r:id="rId7"/>
    <sheet name="work_summary" sheetId="60" r:id="rId8"/>
    <sheet name="BCK_サマリ" sheetId="43" r:id="rId9"/>
    <sheet name="散布図" sheetId="8" r:id="rId10"/>
    <sheet name="サマリ対象" sheetId="54" r:id="rId11"/>
    <sheet name="BCK_散布図" sheetId="44" r:id="rId12"/>
    <sheet name="例_散布図" sheetId="4" r:id="rId13"/>
    <sheet name="work_template" sheetId="42" r:id="rId14"/>
    <sheet name="work_jyoken" sheetId="12" r:id="rId15"/>
    <sheet name="work_graph" sheetId="7" r:id="rId16"/>
    <sheet name="work_scatter1" sheetId="13" r:id="rId17"/>
    <sheet name="src_jyoken" sheetId="53" r:id="rId18"/>
    <sheet name="例_グラフ背景塗りつぶし" sheetId="55" r:id="rId19"/>
    <sheet name="例_グラフ背景塗りつぶし_y範囲" sheetId="56" r:id="rId20"/>
    <sheet name="例_グラフ背景塗りつぶし_x範囲" sheetId="57" r:id="rId21"/>
  </sheets>
  <functionGroups builtInGroupCount="19"/>
  <definedNames>
    <definedName name="_xlnm._FilterDatabase" localSheetId="4" hidden="1">bck_DataTable_歯抜けなし!$F$1:$Q$16</definedName>
    <definedName name="_xlnm._FilterDatabase" localSheetId="11" hidden="1">BCK_散布図!#REF!</definedName>
    <definedName name="_xlnm._FilterDatabase" localSheetId="3" hidden="1">DataTable!$F$1:$Q$12</definedName>
    <definedName name="_xlnm._FilterDatabase" localSheetId="5" hidden="1">DataTable_bck!$F$1:$Q$16</definedName>
    <definedName name="_xlnm._FilterDatabase" localSheetId="16" hidden="1">work_scatter1!#REF!</definedName>
    <definedName name="_xlnm._FilterDatabase" localSheetId="9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  <c r="D4" i="12"/>
  <c r="D3" i="12"/>
  <c r="D2" i="12"/>
  <c r="D7" i="58"/>
  <c r="D6" i="58"/>
  <c r="D5" i="58"/>
  <c r="D4" i="3"/>
  <c r="D3" i="3"/>
  <c r="D2" i="3"/>
  <c r="H6" i="53"/>
  <c r="H5" i="53"/>
  <c r="H4" i="53"/>
  <c r="D6" i="52"/>
  <c r="D5" i="5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<sst xmlns="http://schemas.openxmlformats.org/spreadsheetml/2006/main" count="1067" uniqueCount="258">
  <si>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</si>
  <si>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</si>
  <si>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</si>
  <si>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</si>
  <si>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</si>
  <si>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</si>
  <si>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</si>
  <si>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</si>
  <si>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</si>
  <si>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</si>
  <si>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</si>
  <si>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</si>
  <si>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</si>
  <si>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</si>
  <si>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</si>
  <si>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</si>
  <si>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</si>
  <si>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</si>
  <si>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</si>
  <si>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</si>
  <si>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</si>
  <si>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</si>
  <si>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</si>
  <si>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</si>
  <si>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</si>
  <si>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</si>
  <si>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</si>
  <si>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</si>
  <si>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</si>
  <si>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</si>
  <si>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</si>
  <si>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</si>
  <si>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</si>
  <si>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</si>
  <si>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</si>
  <si>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</si>
  <si>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</si>
  <si>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</si>
  <si>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</si>
  <si>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</si>
  <si>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</si>
  <si>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</si>
  <si>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</si>
  <si>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</si>
  <si>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</si>
  <si>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</si>
  <si>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</si>
  <si>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</si>
  <si>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</si>
  <si>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</si>
  <si>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</si>
  <si>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</si>
  <si>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</si>
  <si>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</si>
  <si>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</si>
  <si>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</si>
  <si>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</si>
  <si>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</si>
  <si>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</si>
  <si>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</si>
  <si>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</si>
  <si>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</si>
  <si>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</si>
  <si>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</si>
  <si>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</si>
  <si>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</si>
  <si>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</si>
  <si>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</si>
  <si>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</si>
  <si>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</si>
  <si>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</si>
  <si>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</si>
  <si>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</si>
  <si>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</si>
  <si>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</si>
  <si>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</si>
  <si>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</si>
  <si>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</si>
  <si>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</si>
  <si>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</si>
  <si>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</si>
  <si>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</si>
  <si>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</si>
  <si>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</si>
  <si>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</si>
  <si>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</si>
  <si>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</si>
  <si>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</si>
  <si>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</si>
  <si>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</si>
  <si>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</si>
  <si>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</si>
  <si>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</si>
  <si>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</si>
  <si>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</si>
  <si>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</si>
  <si>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</si>
  <si>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</si>
  <si>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</si>
  <si>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</si>
  <si>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</si>
  <si>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</si>
  <si>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</si>
  <si>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</si>
  <si>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</si>
  <si>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</si>
  <si>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</si>
  <si>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</si>
  <si>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</si>
  <si>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</si>
  <si>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</si>
  <si>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</si>
  <si>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</si>
  <si>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</si>
  <si>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</si>
  <si>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</si>
  <si>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</si>
  <si>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</si>
  <si>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</si>
  <si>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</si>
  <si>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</si>
  <si>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</si>
  <si>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</si>
  <si>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</si>
  <si>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</si>
  <si>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</si>
  <si>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</si>
  <si>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</si>
  <si>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</si>
  <si>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</si>
  <si>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</si>
  <si>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</si>
  <si>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</si>
  <si>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</si>
  <si>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</si>
  <si>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</si>
  <si>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</si>
  <si>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</si>
  <si>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条件表2-2</t>
    <rPh sb="0" eb="2">
      <t>ジョウケン</t>
    </rPh>
    <rPh sb="2" eb="3">
      <t>ヒョウ</t>
    </rPh>
    <phoneticPr fontId="1"/>
  </si>
  <si>
    <t>imp01_w1</t>
    <phoneticPr fontId="1"/>
  </si>
  <si>
    <t>imp01_w2</t>
  </si>
  <si>
    <t>imp01_w3</t>
  </si>
  <si>
    <t>imp01_w4</t>
  </si>
  <si>
    <t>imp01_w5</t>
  </si>
  <si>
    <t>imp01_w6</t>
  </si>
  <si>
    <t>指定範囲 $B$3:$J$9</t>
    <phoneticPr fontId="1"/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</si>
  <si>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</si>
  <si>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</si>
  <si>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</si>
  <si>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グラフ作成_散布図_X軸コンボボックス_ユーザー選択</t>
    <phoneticPr fontId="1"/>
  </si>
  <si>
    <t>03_Qs</t>
    <phoneticPr fontId="1"/>
  </si>
  <si>
    <t>Extract3</t>
    <phoneticPr fontId="1"/>
  </si>
  <si>
    <t>Extract4</t>
    <phoneticPr fontId="1"/>
  </si>
  <si>
    <t>Extract5</t>
    <phoneticPr fontId="1"/>
  </si>
  <si>
    <t>Extract6</t>
    <phoneticPr fontId="1"/>
  </si>
  <si>
    <t>Extract7</t>
    <phoneticPr fontId="1"/>
  </si>
  <si>
    <t>Extract10</t>
    <phoneticPr fontId="1"/>
  </si>
  <si>
    <t>Extract11</t>
    <phoneticPr fontId="1"/>
  </si>
  <si>
    <t>imp01</t>
    <phoneticPr fontId="1"/>
  </si>
  <si>
    <t>imp03</t>
    <phoneticPr fontId="1"/>
  </si>
  <si>
    <t>imp06</t>
    <phoneticPr fontId="1"/>
  </si>
  <si>
    <t>imp07</t>
    <phoneticPr fontId="1"/>
  </si>
  <si>
    <t>imp08</t>
    <phoneticPr fontId="1"/>
  </si>
  <si>
    <t>imp09</t>
    <phoneticPr fontId="1"/>
  </si>
  <si>
    <t>imp10</t>
    <phoneticPr fontId="1"/>
  </si>
  <si>
    <t>imp12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</si>
  <si>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</si>
  <si>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</si>
  <si>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</si>
  <si>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</si>
  <si>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</si>
  <si>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</si>
  <si>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</si>
  <si>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</si>
  <si>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</si>
  <si>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</si>
  <si>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</si>
  <si>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</si>
  <si>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</si>
  <si>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</si>
  <si>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</si>
  <si>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</si>
  <si>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</si>
  <si>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</si>
  <si>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</si>
  <si>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</si>
  <si>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</si>
  <si>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</si>
  <si>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</si>
  <si>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</si>
  <si>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</si>
  <si>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</si>
  <si>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</si>
  <si>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</si>
  <si>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</si>
  <si>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</si>
  <si>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</si>
  <si>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</si>
  <si>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</si>
  <si>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</si>
  <si>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</si>
  <si>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</si>
  <si>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</si>
  <si>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</si>
  <si>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</si>
  <si>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</si>
  <si>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</si>
  <si>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</si>
  <si>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</si>
  <si>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</si>
  <si>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</si>
  <si>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imp04</t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</si>
  <si>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</si>
  <si>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</si>
  <si>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</si>
  <si>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</si>
  <si>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</si>
  <si>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</si>
  <si>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</si>
  <si>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</si>
  <si>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</si>
  <si>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</si>
  <si>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</si>
  <si>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</si>
  <si>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</si>
  <si>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</si>
  <si>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</si>
  <si>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</si>
  <si>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</si>
  <si>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</si>
  <si>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　</t>
  </si>
  <si>
    <t>CWL1_dose =1.10E+12,OFD_dose =3.11E+11,</t>
  </si>
  <si>
    <t>CWL1_dose =1.20E+12,OFD_dose =3.11E+11,</t>
  </si>
  <si>
    <t>CWL1_dose =1.10E+12,OFD_dose =3.30E+11,</t>
  </si>
  <si>
    <t>CWL1_dose =1.20E+12,OFD_dose =3.30E+11,</t>
  </si>
  <si>
    <t>グラフ作成対象が多すぎると処理失敗することがあります。（目安グラフ70個以上が限度ですが、PCメモリ状況次第)</t>
    <phoneticPr fontId="1"/>
  </si>
  <si>
    <t>■　サマリ対象</t>
    <phoneticPr fontId="1"/>
  </si>
  <si>
    <t>Mode</t>
  </si>
  <si>
    <t>PLT|EXT</t>
  </si>
  <si>
    <t>Name</t>
  </si>
  <si>
    <t>Object</t>
  </si>
  <si>
    <t>VMAX</t>
  </si>
  <si>
    <t>Extract1</t>
  </si>
  <si>
    <t>■サマリグラフ speed - DataTable</t>
  </si>
  <si>
    <t>tokuE</t>
  </si>
  <si>
    <t>tokuF</t>
  </si>
  <si>
    <t>TEST01</t>
  </si>
  <si>
    <t>ZTEST01</t>
  </si>
  <si>
    <t>Qs01</t>
  </si>
  <si>
    <t>VMIN</t>
  </si>
  <si>
    <t>NSADDLE</t>
  </si>
  <si>
    <t>XNADDLE</t>
  </si>
  <si>
    <t>ELECTRON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</si>
  <si>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</si>
  <si>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</si>
  <si>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</si>
  <si>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03_Qs_Extract2</t>
    <phoneticPr fontId="1"/>
  </si>
  <si>
    <t>■[DEBUG] data_ary内容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</si>
</sst>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サマリ!$B$5:$B$8</c:f>
              <c:strCache>
                <c:ptCount val="4"/>
                <c:pt idx="0">
                  <c:v>01_TGoff</c:v>
                </c:pt>
                <c:pt idx="1">
                  <c:v>Extract1</c:v>
                </c:pt>
                <c:pt idx="2">
                  <c:v>VMAX</c:v>
                </c:pt>
                <c:pt idx="3">
                  <c:v>toku1</c:v>
                </c:pt>
              </c:strCache>
            </c:strRef>
          </c:tx>
          <c:cat>
            <c:strRef>
              <c:f>サマリ!$A$9:$A$16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サマリ!$B$9:$B$16</c:f>
              <c:numCache>
                <c:formatCode>General</c:formatCode>
                <c:ptCount val="8"/>
                <c:pt idx="0">
                  <c:v>0.64900000000000002</c:v>
                </c:pt>
                <c:pt idx="1">
                  <c:v>0.65300000000000002</c:v>
                </c:pt>
                <c:pt idx="2">
                  <c:v>0.65900000000000003</c:v>
                </c:pt>
                <c:pt idx="3">
                  <c:v>0.66100000000000003</c:v>
                </c:pt>
                <c:pt idx="4">
                  <c:v>0.66300000000000003</c:v>
                </c:pt>
                <c:pt idx="5">
                  <c:v>0.66500000000000004</c:v>
                </c:pt>
                <c:pt idx="6">
                  <c:v>0.66700000000000004</c:v>
                </c:pt>
                <c:pt idx="7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3-48A8-927B-ACF6B90EB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サマリ!$L$5:$L$8</c:f>
              <c:strCache>
                <c:ptCount val="4"/>
                <c:pt idx="0">
                  <c:v>01_TGon</c:v>
                </c:pt>
                <c:pt idx="1">
                  <c:v>Extract2</c:v>
                </c:pt>
                <c:pt idx="2">
                  <c:v>VMIN</c:v>
                </c:pt>
                <c:pt idx="3">
                  <c:v>toku2</c:v>
                </c:pt>
              </c:strCache>
            </c:strRef>
          </c:tx>
          <c:cat>
            <c:strRef>
              <c:f>サマリ!$K$9:$K$16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サマリ!$L$9:$L$16</c:f>
              <c:numCache>
                <c:formatCode>General</c:formatCode>
                <c:ptCount val="8"/>
                <c:pt idx="0">
                  <c:v>6.1600000000000002E-2</c:v>
                </c:pt>
                <c:pt idx="1">
                  <c:v>6.2E-2</c:v>
                </c:pt>
                <c:pt idx="2">
                  <c:v>6.2600000000000003E-2</c:v>
                </c:pt>
                <c:pt idx="3">
                  <c:v>6.2799999999999995E-2</c:v>
                </c:pt>
                <c:pt idx="4">
                  <c:v>6.3E-2</c:v>
                </c:pt>
                <c:pt idx="5">
                  <c:v>6.3200000000000006E-2</c:v>
                </c:pt>
                <c:pt idx="6">
                  <c:v>6.3399999999999998E-2</c:v>
                </c:pt>
                <c:pt idx="7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C8-4742-9F39-B8877C1B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toku3 Extract3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サマリ!$V$5:$V$8</c:f>
              <c:strCache>
                <c:ptCount val="4"/>
                <c:pt idx="0">
                  <c:v>01_TGon</c:v>
                </c:pt>
                <c:pt idx="1">
                  <c:v>Extract3</c:v>
                </c:pt>
                <c:pt idx="2">
                  <c:v>VMIN</c:v>
                </c:pt>
                <c:pt idx="3">
                  <c:v>toku3</c:v>
                </c:pt>
              </c:strCache>
            </c:strRef>
          </c:tx>
          <c:cat>
            <c:strRef>
              <c:f>サマリ!$U$9:$U$16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サマリ!$V$9:$V$16</c:f>
              <c:numCache>
                <c:formatCode>General</c:formatCode>
                <c:ptCount val="8"/>
                <c:pt idx="0">
                  <c:v>0.23799999999999999</c:v>
                </c:pt>
                <c:pt idx="1">
                  <c:v>0.23799999999999999</c:v>
                </c:pt>
                <c:pt idx="2">
                  <c:v>0.23799999999999999</c:v>
                </c:pt>
                <c:pt idx="3">
                  <c:v>0.23799999999999999</c:v>
                </c:pt>
                <c:pt idx="4">
                  <c:v>0.23799999999999999</c:v>
                </c:pt>
                <c:pt idx="5">
                  <c:v>0.23799999999999999</c:v>
                </c:pt>
                <c:pt idx="6">
                  <c:v>0.23799999999999999</c:v>
                </c:pt>
                <c:pt idx="7">
                  <c:v>0.23799999999999999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8B-4C89-ADC4-36A8DF7A2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サマリ!$AF$5:$AF$8</c:f>
              <c:strCache>
                <c:ptCount val="4"/>
                <c:pt idx="0">
                  <c:v>01_TGon</c:v>
                </c:pt>
                <c:pt idx="1">
                  <c:v>Extract4</c:v>
                </c:pt>
                <c:pt idx="2">
                  <c:v>NSADDLE</c:v>
                </c:pt>
                <c:pt idx="3">
                  <c:v>tokuA</c:v>
                </c:pt>
              </c:strCache>
            </c:strRef>
          </c:tx>
          <c:cat>
            <c:strRef>
              <c:f>サマリ!$AE$9:$AE$16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サマリ!$AF$9:$AF$16</c:f>
              <c:numCache>
                <c:formatCode>General</c:formatCode>
                <c:ptCount val="8"/>
                <c:pt idx="0">
                  <c:v>2.33</c:v>
                </c:pt>
                <c:pt idx="1">
                  <c:v>2.13</c:v>
                </c:pt>
                <c:pt idx="2">
                  <c:v>1.83</c:v>
                </c:pt>
                <c:pt idx="3">
                  <c:v>1.73</c:v>
                </c:pt>
                <c:pt idx="4">
                  <c:v>1.63</c:v>
                </c:pt>
                <c:pt idx="5">
                  <c:v>1.53</c:v>
                </c:pt>
                <c:pt idx="6">
                  <c:v>1.43</c:v>
                </c:pt>
                <c:pt idx="7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F-4DA5-86D2-2A9C5DE96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tokuE Extract5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サマリ!$AP$5:$AP$8</c:f>
              <c:strCache>
                <c:ptCount val="4"/>
                <c:pt idx="0">
                  <c:v>01_TGon</c:v>
                </c:pt>
                <c:pt idx="1">
                  <c:v>Extract5</c:v>
                </c:pt>
                <c:pt idx="2">
                  <c:v>XNADDLE</c:v>
                </c:pt>
                <c:pt idx="3">
                  <c:v>tokuE</c:v>
                </c:pt>
              </c:strCache>
            </c:strRef>
          </c:tx>
          <c:cat>
            <c:strRef>
              <c:f>サマリ!$AO$9:$AO$16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サマリ!$AP$9:$AP$16</c:f>
              <c:numCache>
                <c:formatCode>General</c:formatCode>
                <c:ptCount val="8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2-4E11-896E-0DC0A77D0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tokuF Extract6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サマリ!$AZ$5:$AZ$8</c:f>
              <c:strCache>
                <c:ptCount val="4"/>
                <c:pt idx="0">
                  <c:v>01_TGon</c:v>
                </c:pt>
                <c:pt idx="1">
                  <c:v>Extract6</c:v>
                </c:pt>
                <c:pt idx="2">
                  <c:v>ELECTRON</c:v>
                </c:pt>
                <c:pt idx="3">
                  <c:v>tokuF</c:v>
                </c:pt>
              </c:strCache>
            </c:strRef>
          </c:tx>
          <c:cat>
            <c:strRef>
              <c:f>サマリ!$AY$9:$AY$16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サマリ!$AZ$9:$AZ$16</c:f>
              <c:numCache>
                <c:formatCode>General</c:formatCode>
                <c:ptCount val="8"/>
                <c:pt idx="0">
                  <c:v>1.1E-40</c:v>
                </c:pt>
                <c:pt idx="1">
                  <c:v>9.0000000000000002E-41</c:v>
                </c:pt>
                <c:pt idx="2">
                  <c:v>3.1000000000000001E-40</c:v>
                </c:pt>
                <c:pt idx="3">
                  <c:v>3.5000000000000002E-40</c:v>
                </c:pt>
                <c:pt idx="4">
                  <c:v>3.8999999999999998E-40</c:v>
                </c:pt>
                <c:pt idx="5">
                  <c:v>4.3000000000000003E-40</c:v>
                </c:pt>
                <c:pt idx="6">
                  <c:v>4.6999999999999999E-40</c:v>
                </c:pt>
                <c:pt idx="7">
                  <c:v>5.5E-40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9-4B5E-B00F-E56928A09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サマリ!$BJ$5:$BJ$8</c:f>
              <c:strCache>
                <c:ptCount val="4"/>
                <c:pt idx="0">
                  <c:v>01_TGoff</c:v>
                </c:pt>
                <c:pt idx="1">
                  <c:v>Extract7</c:v>
                </c:pt>
                <c:pt idx="2">
                  <c:v>VMAX</c:v>
                </c:pt>
                <c:pt idx="3">
                  <c:v>SRpot</c:v>
                </c:pt>
              </c:strCache>
            </c:strRef>
          </c:tx>
          <c:cat>
            <c:strRef>
              <c:f>サマリ!$BI$9:$BI$16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サマリ!$BJ$9:$BJ$16</c:f>
              <c:numCache>
                <c:formatCode>General</c:formatCode>
                <c:ptCount val="8"/>
                <c:pt idx="0">
                  <c:v>2.29</c:v>
                </c:pt>
                <c:pt idx="1">
                  <c:v>2.33</c:v>
                </c:pt>
                <c:pt idx="2">
                  <c:v>2.39</c:v>
                </c:pt>
                <c:pt idx="3">
                  <c:v>2.41</c:v>
                </c:pt>
                <c:pt idx="4">
                  <c:v>2.4300000000000002</c:v>
                </c:pt>
                <c:pt idx="5">
                  <c:v>2.4500000000000002</c:v>
                </c:pt>
                <c:pt idx="6">
                  <c:v>2.4700000000000002</c:v>
                </c:pt>
                <c:pt idx="7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7-4868-A7B4-52ADC702A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サマリ!$BT$5:$BT$8</c:f>
              <c:strCache>
                <c:ptCount val="4"/>
                <c:pt idx="0">
                  <c:v>01_TGoff</c:v>
                </c:pt>
                <c:pt idx="1">
                  <c:v>Extract10</c:v>
                </c:pt>
                <c:pt idx="2">
                  <c:v>VMAX</c:v>
                </c:pt>
                <c:pt idx="3">
                  <c:v>TEST01</c:v>
                </c:pt>
              </c:strCache>
            </c:strRef>
          </c:tx>
          <c:cat>
            <c:strRef>
              <c:f>サマリ!$BS$9:$BS$16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サマリ!$BT$9:$BT$16</c:f>
              <c:numCache>
                <c:formatCode>General</c:formatCode>
                <c:ptCount val="8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4-4E10-AD4C-2615FA0BA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ZTEST01 Extract11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サマリ!$CD$5:$CD$8</c:f>
              <c:strCache>
                <c:ptCount val="4"/>
                <c:pt idx="0">
                  <c:v>01_TGon</c:v>
                </c:pt>
                <c:pt idx="1">
                  <c:v>Extract11</c:v>
                </c:pt>
                <c:pt idx="2">
                  <c:v>VMAX</c:v>
                </c:pt>
                <c:pt idx="3">
                  <c:v>ZTEST01</c:v>
                </c:pt>
              </c:strCache>
            </c:strRef>
          </c:tx>
          <c:cat>
            <c:strRef>
              <c:f>サマリ!$CC$9:$CC$16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サマリ!$CD$9:$CD$16</c:f>
              <c:numCache>
                <c:formatCode>General</c:formatCode>
                <c:ptCount val="8"/>
                <c:pt idx="0">
                  <c:v>0.19</c:v>
                </c:pt>
                <c:pt idx="1">
                  <c:v>0.17</c:v>
                </c:pt>
                <c:pt idx="2">
                  <c:v>0.14000000000000001</c:v>
                </c:pt>
                <c:pt idx="3">
                  <c:v>0.13</c:v>
                </c:pt>
                <c:pt idx="4">
                  <c:v>0.12</c:v>
                </c:pt>
                <c:pt idx="5">
                  <c:v>0.11</c:v>
                </c:pt>
                <c:pt idx="6">
                  <c:v>0.1</c:v>
                </c:pt>
                <c:pt idx="7">
                  <c:v>8.0000000000000099E-2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56-46AE-9312-69B93ECDD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サマリ!$B$20:$B$23</c:f>
              <c:strCache>
                <c:ptCount val="4"/>
                <c:pt idx="0">
                  <c:v>03_Qs</c:v>
                </c:pt>
                <c:pt idx="1">
                  <c:v>Extract1</c:v>
                </c:pt>
                <c:pt idx="2">
                  <c:v>03_Qs</c:v>
                </c:pt>
                <c:pt idx="3">
                  <c:v>Qs01</c:v>
                </c:pt>
              </c:strCache>
            </c:strRef>
          </c:tx>
          <c:cat>
            <c:strRef>
              <c:f>サマリ!$A$24:$A$31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サマリ!$B$24:$B$31</c:f>
              <c:numCache>
                <c:formatCode>General</c:formatCode>
                <c:ptCount val="8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5-42CF-A9ED-97AF8487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サマリ!$L$20:$L$23</c:f>
              <c:strCache>
                <c:ptCount val="4"/>
                <c:pt idx="0">
                  <c:v>03_Qs</c:v>
                </c:pt>
                <c:pt idx="1">
                  <c:v>Extract2</c:v>
                </c:pt>
                <c:pt idx="2">
                  <c:v>03_Qs</c:v>
                </c:pt>
                <c:pt idx="3">
                  <c:v>Qs02</c:v>
                </c:pt>
              </c:strCache>
            </c:strRef>
          </c:tx>
          <c:cat>
            <c:strRef>
              <c:f>サマリ!$K$24:$K$31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サマリ!$L$24:$L$31</c:f>
              <c:numCache>
                <c:formatCode>General</c:formatCode>
                <c:ptCount val="8"/>
                <c:pt idx="0">
                  <c:v>0.4</c:v>
                </c:pt>
                <c:pt idx="1">
                  <c:v>0.39800000000000002</c:v>
                </c:pt>
                <c:pt idx="2">
                  <c:v>0.395666666666667</c:v>
                </c:pt>
                <c:pt idx="3">
                  <c:v>0.394666666666667</c:v>
                </c:pt>
                <c:pt idx="4">
                  <c:v>0.393666666666667</c:v>
                </c:pt>
                <c:pt idx="5">
                  <c:v>0.392666666666667</c:v>
                </c:pt>
                <c:pt idx="6">
                  <c:v>0.391666666666667</c:v>
                </c:pt>
                <c:pt idx="7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B8-413B-849A-3F374796A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散布図!$B$7:$B$10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B-4B69-9D82-15715FCC8D21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散布図!$C$7:$C$10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FB-4B69-9D82-15715FCC8D21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散布図!$D$7:$D$10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FB-4B69-9D82-15715FCC8D21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散布図!$E$7:$E$10</c:f>
              <c:numCache>
                <c:formatCode>General</c:formatCode>
                <c:ptCount val="4"/>
                <c:pt idx="1">
                  <c:v>0.65900000000000003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FB-4B69-9D82-15715FCC8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散布図!$B$15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散布図!$B$16:$B$19</c:f>
              <c:numCache>
                <c:formatCode>General</c:formatCode>
                <c:ptCount val="4"/>
                <c:pt idx="0">
                  <c:v>2.33</c:v>
                </c:pt>
                <c:pt idx="1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5-4090-A193-AF8D090194EB}"/>
            </c:ext>
          </c:extLst>
        </c:ser>
        <c:ser>
          <c:idx val="1"/>
          <c:order val="1"/>
          <c:tx>
            <c:strRef>
              <c:f>散布図!$C$15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散布図!$C$16:$C$19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15-4090-A193-AF8D090194EB}"/>
            </c:ext>
          </c:extLst>
        </c:ser>
        <c:ser>
          <c:idx val="2"/>
          <c:order val="2"/>
          <c:tx>
            <c:strRef>
              <c:f>散布図!$D$15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散布図!$D$16:$D$19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15-4090-A193-AF8D090194EB}"/>
            </c:ext>
          </c:extLst>
        </c:ser>
        <c:ser>
          <c:idx val="3"/>
          <c:order val="3"/>
          <c:tx>
            <c:strRef>
              <c:f>散布図!$E$15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散布図!$E$16:$E$19</c:f>
              <c:numCache>
                <c:formatCode>General</c:formatCode>
                <c:ptCount val="4"/>
                <c:pt idx="1">
                  <c:v>1.83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15-4090-A193-AF8D09019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散布図!$B$25:$B$28</c:f>
              <c:numCache>
                <c:formatCode>General</c:formatCode>
                <c:ptCount val="4"/>
                <c:pt idx="0">
                  <c:v>2.29</c:v>
                </c:pt>
                <c:pt idx="1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6-43FC-955F-DD6A9511587C}"/>
            </c:ext>
          </c:extLst>
        </c:ser>
        <c:ser>
          <c:idx val="1"/>
          <c:order val="1"/>
          <c:tx>
            <c:strRef>
              <c:f>散布図!$C$24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散布図!$C$25:$C$28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C6-43FC-955F-DD6A9511587C}"/>
            </c:ext>
          </c:extLst>
        </c:ser>
        <c:ser>
          <c:idx val="2"/>
          <c:order val="2"/>
          <c:tx>
            <c:strRef>
              <c:f>散布図!$D$24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散布図!$D$25:$D$28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C6-43FC-955F-DD6A9511587C}"/>
            </c:ext>
          </c:extLst>
        </c:ser>
        <c:ser>
          <c:idx val="3"/>
          <c:order val="3"/>
          <c:tx>
            <c:strRef>
              <c:f>散布図!$E$24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散布図!$E$25:$E$28</c:f>
              <c:numCache>
                <c:formatCode>General</c:formatCode>
                <c:ptCount val="4"/>
                <c:pt idx="1">
                  <c:v>2.39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C6-43FC-955F-DD6A95115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散布図!$B$33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散布図!$B$34:$B$37</c:f>
              <c:numCache>
                <c:formatCode>General</c:formatCode>
                <c:ptCount val="4"/>
                <c:pt idx="0">
                  <c:v>0.4</c:v>
                </c:pt>
                <c:pt idx="1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1-40F9-BBF2-96F995786D3F}"/>
            </c:ext>
          </c:extLst>
        </c:ser>
        <c:ser>
          <c:idx val="1"/>
          <c:order val="1"/>
          <c:tx>
            <c:strRef>
              <c:f>散布図!$C$33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散布図!$C$34:$C$37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71-40F9-BBF2-96F995786D3F}"/>
            </c:ext>
          </c:extLst>
        </c:ser>
        <c:ser>
          <c:idx val="2"/>
          <c:order val="2"/>
          <c:tx>
            <c:strRef>
              <c:f>散布図!$D$33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散布図!$D$34:$D$37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71-40F9-BBF2-96F995786D3F}"/>
            </c:ext>
          </c:extLst>
        </c:ser>
        <c:ser>
          <c:idx val="3"/>
          <c:order val="3"/>
          <c:tx>
            <c:strRef>
              <c:f>散布図!$E$33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散布図!$E$34:$E$37</c:f>
              <c:numCache>
                <c:formatCode>General</c:formatCode>
                <c:ptCount val="4"/>
                <c:pt idx="1">
                  <c:v>0.395666666666667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71-40F9-BBF2-96F995786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6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image" Target="../media/image1.emf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8</xdr:col>
      <xdr:colOff>457200</xdr:colOff>
      <xdr:row>16</xdr:row>
      <xdr:rowOff>123825</xdr:rowOff>
    </xdr:to>
    <xdr:graphicFrame macro="">
      <xdr:nvGraphicFramePr>
        <xdr:cNvPr id="82" name="graph_sumary_1">
          <a:extLst>
            <a:ext uri="{FF2B5EF4-FFF2-40B4-BE49-F238E27FC236}">
              <a16:creationId xmlns:a16="http://schemas.microsoft.com/office/drawing/2014/main" id="{F52E137E-0522-4643-B24E-9C7F09E59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5</xdr:row>
      <xdr:rowOff>0</xdr:rowOff>
    </xdr:from>
    <xdr:to>
      <xdr:col>18</xdr:col>
      <xdr:colOff>457200</xdr:colOff>
      <xdr:row>16</xdr:row>
      <xdr:rowOff>123825</xdr:rowOff>
    </xdr:to>
    <xdr:graphicFrame macro="">
      <xdr:nvGraphicFramePr>
        <xdr:cNvPr id="83" name="graph_sumary_2">
          <a:extLst>
            <a:ext uri="{FF2B5EF4-FFF2-40B4-BE49-F238E27FC236}">
              <a16:creationId xmlns:a16="http://schemas.microsoft.com/office/drawing/2014/main" id="{52BFF58D-F1C9-48FE-8F33-596C010E8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5</xdr:row>
      <xdr:rowOff>0</xdr:rowOff>
    </xdr:from>
    <xdr:to>
      <xdr:col>28</xdr:col>
      <xdr:colOff>457200</xdr:colOff>
      <xdr:row>16</xdr:row>
      <xdr:rowOff>123825</xdr:rowOff>
    </xdr:to>
    <xdr:graphicFrame macro="">
      <xdr:nvGraphicFramePr>
        <xdr:cNvPr id="84" name="graph_sumary_3">
          <a:extLst>
            <a:ext uri="{FF2B5EF4-FFF2-40B4-BE49-F238E27FC236}">
              <a16:creationId xmlns:a16="http://schemas.microsoft.com/office/drawing/2014/main" id="{35631178-FD18-4498-8F3A-388FA7BA4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38</xdr:col>
      <xdr:colOff>457200</xdr:colOff>
      <xdr:row>16</xdr:row>
      <xdr:rowOff>123825</xdr:rowOff>
    </xdr:to>
    <xdr:graphicFrame macro="">
      <xdr:nvGraphicFramePr>
        <xdr:cNvPr id="85" name="graph_sumary_4">
          <a:extLst>
            <a:ext uri="{FF2B5EF4-FFF2-40B4-BE49-F238E27FC236}">
              <a16:creationId xmlns:a16="http://schemas.microsoft.com/office/drawing/2014/main" id="{EC1510D0-57E4-4880-9B75-73D0F8C47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0</xdr:colOff>
      <xdr:row>5</xdr:row>
      <xdr:rowOff>0</xdr:rowOff>
    </xdr:from>
    <xdr:to>
      <xdr:col>48</xdr:col>
      <xdr:colOff>457200</xdr:colOff>
      <xdr:row>16</xdr:row>
      <xdr:rowOff>123825</xdr:rowOff>
    </xdr:to>
    <xdr:graphicFrame macro="">
      <xdr:nvGraphicFramePr>
        <xdr:cNvPr id="86" name="graph_sumary_5">
          <a:extLst>
            <a:ext uri="{FF2B5EF4-FFF2-40B4-BE49-F238E27FC236}">
              <a16:creationId xmlns:a16="http://schemas.microsoft.com/office/drawing/2014/main" id="{92CA757F-91E8-4576-B388-A6853064C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0</xdr:colOff>
      <xdr:row>5</xdr:row>
      <xdr:rowOff>0</xdr:rowOff>
    </xdr:from>
    <xdr:to>
      <xdr:col>58</xdr:col>
      <xdr:colOff>457200</xdr:colOff>
      <xdr:row>16</xdr:row>
      <xdr:rowOff>123825</xdr:rowOff>
    </xdr:to>
    <xdr:graphicFrame macro="">
      <xdr:nvGraphicFramePr>
        <xdr:cNvPr id="87" name="graph_sumary_6">
          <a:extLst>
            <a:ext uri="{FF2B5EF4-FFF2-40B4-BE49-F238E27FC236}">
              <a16:creationId xmlns:a16="http://schemas.microsoft.com/office/drawing/2014/main" id="{587FCDA6-F1E7-4368-8AE8-8A250CA15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0</xdr:colOff>
      <xdr:row>5</xdr:row>
      <xdr:rowOff>0</xdr:rowOff>
    </xdr:from>
    <xdr:to>
      <xdr:col>68</xdr:col>
      <xdr:colOff>457200</xdr:colOff>
      <xdr:row>16</xdr:row>
      <xdr:rowOff>123825</xdr:rowOff>
    </xdr:to>
    <xdr:graphicFrame macro="">
      <xdr:nvGraphicFramePr>
        <xdr:cNvPr id="88" name="graph_sumary_7">
          <a:extLst>
            <a:ext uri="{FF2B5EF4-FFF2-40B4-BE49-F238E27FC236}">
              <a16:creationId xmlns:a16="http://schemas.microsoft.com/office/drawing/2014/main" id="{14E27CF7-2652-47A3-AAA2-DF9CF1599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0</xdr:colOff>
      <xdr:row>5</xdr:row>
      <xdr:rowOff>0</xdr:rowOff>
    </xdr:from>
    <xdr:to>
      <xdr:col>78</xdr:col>
      <xdr:colOff>457200</xdr:colOff>
      <xdr:row>16</xdr:row>
      <xdr:rowOff>123825</xdr:rowOff>
    </xdr:to>
    <xdr:graphicFrame macro="">
      <xdr:nvGraphicFramePr>
        <xdr:cNvPr id="89" name="graph_sumary_8">
          <a:extLst>
            <a:ext uri="{FF2B5EF4-FFF2-40B4-BE49-F238E27FC236}">
              <a16:creationId xmlns:a16="http://schemas.microsoft.com/office/drawing/2014/main" id="{B7626BE2-C59D-44F7-A82D-07F59280E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82</xdr:col>
      <xdr:colOff>0</xdr:colOff>
      <xdr:row>5</xdr:row>
      <xdr:rowOff>0</xdr:rowOff>
    </xdr:from>
    <xdr:to>
      <xdr:col>88</xdr:col>
      <xdr:colOff>457201</xdr:colOff>
      <xdr:row>16</xdr:row>
      <xdr:rowOff>123825</xdr:rowOff>
    </xdr:to>
    <xdr:graphicFrame macro="">
      <xdr:nvGraphicFramePr>
        <xdr:cNvPr id="90" name="graph_sumary_9">
          <a:extLst>
            <a:ext uri="{FF2B5EF4-FFF2-40B4-BE49-F238E27FC236}">
              <a16:creationId xmlns:a16="http://schemas.microsoft.com/office/drawing/2014/main" id="{0588D3D0-704F-4F9E-A5DB-88358551AD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20</xdr:row>
      <xdr:rowOff>0</xdr:rowOff>
    </xdr:from>
    <xdr:to>
      <xdr:col>8</xdr:col>
      <xdr:colOff>457200</xdr:colOff>
      <xdr:row>31</xdr:row>
      <xdr:rowOff>123825</xdr:rowOff>
    </xdr:to>
    <xdr:graphicFrame macro="">
      <xdr:nvGraphicFramePr>
        <xdr:cNvPr id="91" name="graph_sumary_10">
          <a:extLst>
            <a:ext uri="{FF2B5EF4-FFF2-40B4-BE49-F238E27FC236}">
              <a16:creationId xmlns:a16="http://schemas.microsoft.com/office/drawing/2014/main" id="{F0A124CA-76CA-44A1-8796-0EA2DCA46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18</xdr:col>
      <xdr:colOff>457200</xdr:colOff>
      <xdr:row>31</xdr:row>
      <xdr:rowOff>123825</xdr:rowOff>
    </xdr:to>
    <xdr:graphicFrame macro="">
      <xdr:nvGraphicFramePr>
        <xdr:cNvPr id="92" name="graph_sumary_11">
          <a:extLst>
            <a:ext uri="{FF2B5EF4-FFF2-40B4-BE49-F238E27FC236}">
              <a16:creationId xmlns:a16="http://schemas.microsoft.com/office/drawing/2014/main" id="{ABE96076-74D8-4331-8404-A89480E8EA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0" name="graph_scatter_0">
          <a:extLst>
            <a:ext uri="{FF2B5EF4-FFF2-40B4-BE49-F238E27FC236}">
              <a16:creationId xmlns:a16="http://schemas.microsoft.com/office/drawing/2014/main" id="{4259F5DD-D5EC-42A8-8B22-66561E158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1" name="graph_scatter_2">
          <a:extLst>
            <a:ext uri="{FF2B5EF4-FFF2-40B4-BE49-F238E27FC236}">
              <a16:creationId xmlns:a16="http://schemas.microsoft.com/office/drawing/2014/main" id="{BE008737-B089-4F27-8099-AA5C7D00B9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2" name="graph_scatter_3">
          <a:extLst>
            <a:ext uri="{FF2B5EF4-FFF2-40B4-BE49-F238E27FC236}">
              <a16:creationId xmlns:a16="http://schemas.microsoft.com/office/drawing/2014/main" id="{9D949EB7-F43D-4956-83F9-ECFD32058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3" name="graph_scatter_4">
          <a:extLst>
            <a:ext uri="{FF2B5EF4-FFF2-40B4-BE49-F238E27FC236}">
              <a16:creationId xmlns:a16="http://schemas.microsoft.com/office/drawing/2014/main" id="{669CFD23-A5C6-4B2C-8AE2-172C5251D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130</v>
      </c>
    </row>
    <row r="5" spans="1:22">
      <c r="E5" s="13" t="s">
        <v>145</v>
      </c>
    </row>
    <row r="7" spans="1:22">
      <c r="E7" s="13" t="s">
        <v>131</v>
      </c>
    </row>
    <row r="9" spans="1:22">
      <c r="E9" s="13" t="s">
        <v>132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2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106</v>
      </c>
      <c r="N14" s="16" t="s">
        <v>114</v>
      </c>
      <c r="O14" s="16" t="s">
        <v>107</v>
      </c>
      <c r="P14" s="16" t="s">
        <v>114</v>
      </c>
      <c r="Q14" s="16" t="s">
        <v>108</v>
      </c>
      <c r="R14" s="16" t="s">
        <v>114</v>
      </c>
      <c r="S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 t="s">
        <v>115</v>
      </c>
      <c r="M15" s="14">
        <v>5200000000000</v>
      </c>
      <c r="N15" s="14"/>
      <c r="O15" s="14">
        <v>1</v>
      </c>
      <c r="P15" s="14" t="s">
        <v>115</v>
      </c>
      <c r="Q15" s="14">
        <v>311000000000</v>
      </c>
      <c r="R15" s="14" t="s">
        <v>230</v>
      </c>
      <c r="S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 t="s">
        <v>115</v>
      </c>
      <c r="M16" s="14">
        <v>5300000000000</v>
      </c>
      <c r="N16" s="14"/>
      <c r="O16" s="14">
        <v>2</v>
      </c>
      <c r="P16" s="14" t="s">
        <v>115</v>
      </c>
      <c r="Q16" s="14">
        <v>330000000000</v>
      </c>
      <c r="R16" s="14"/>
      <c r="S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/>
      <c r="K17" s="14"/>
      <c r="L17" s="14" t="s">
        <v>115</v>
      </c>
      <c r="M17" s="14">
        <v>5400000000000</v>
      </c>
      <c r="N17" s="14"/>
      <c r="O17" s="14">
        <v>3</v>
      </c>
      <c r="P17" s="14"/>
      <c r="Q17" s="14"/>
      <c r="R17" s="14"/>
      <c r="S17" s="14"/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J15:J18 L15:L18 N15:N18 P15:P18 R15:R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A8" sqref="A8"/>
    </sheetView>
  </sheetViews>
  <sheetFormatPr defaultRowHeight="18.75"/>
  <cols>
    <col min="1" max="1" width="12.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t="s">
        <v>15</v>
      </c>
      <c r="B2" s="1">
        <v>1100000000000</v>
      </c>
      <c r="C2" s="1">
        <v>200000000000</v>
      </c>
      <c r="D2">
        <f>311000000000</f>
        <v>311000000000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t="s">
        <v>16</v>
      </c>
      <c r="B3" s="1">
        <v>1100000000000</v>
      </c>
      <c r="C3" s="1">
        <v>200000000000</v>
      </c>
      <c r="D3">
        <f>311000000000</f>
        <v>311000000000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t="s">
        <v>17</v>
      </c>
      <c r="B4" s="1">
        <v>1100000000000</v>
      </c>
      <c r="C4" s="1">
        <v>200000000000</v>
      </c>
      <c r="D4">
        <f>311000000000</f>
        <v>311000000000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t="s">
        <v>211</v>
      </c>
      <c r="B5" s="4">
        <v>1200000000000</v>
      </c>
      <c r="C5" s="1">
        <v>200000000000</v>
      </c>
      <c r="D5" s="23">
        <v>330000000000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t="s">
        <v>19</v>
      </c>
      <c r="B6" s="4">
        <v>1200000000000</v>
      </c>
      <c r="C6" s="1">
        <v>200000000000</v>
      </c>
      <c r="D6" s="23">
        <v>330000000000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s="2">
        <v>1</v>
      </c>
      <c r="G8" s="23">
        <v>330000000000</v>
      </c>
      <c r="H8" s="17">
        <v>-1.2</v>
      </c>
      <c r="I8" s="2">
        <v>2</v>
      </c>
    </row>
    <row r="9" spans="1:9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s="18">
        <v>2</v>
      </c>
      <c r="G9" s="23">
        <v>330000000000</v>
      </c>
      <c r="H9" s="17">
        <v>-1.2</v>
      </c>
      <c r="I9" s="2">
        <v>2</v>
      </c>
    </row>
    <row r="10" spans="1:9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s="19">
        <v>3</v>
      </c>
      <c r="G10" s="23">
        <v>330000000000</v>
      </c>
      <c r="H10" s="17">
        <v>-1.2</v>
      </c>
      <c r="I10" s="2">
        <v>2</v>
      </c>
    </row>
    <row r="11" spans="1:9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s="2">
        <v>1</v>
      </c>
      <c r="G11" s="23">
        <v>330000000000</v>
      </c>
      <c r="H11" s="17">
        <v>-1.2</v>
      </c>
      <c r="I11" s="2">
        <v>2</v>
      </c>
    </row>
    <row r="12" spans="1:9">
      <c r="A12" t="s">
        <v>95</v>
      </c>
      <c r="B12" s="4">
        <v>1300000000000</v>
      </c>
      <c r="C12" s="24">
        <v>300000000000</v>
      </c>
      <c r="D12" s="25">
        <v>360000000000</v>
      </c>
      <c r="E12" s="1">
        <v>5200000000000</v>
      </c>
      <c r="F12" s="18">
        <v>2</v>
      </c>
      <c r="G12" s="23">
        <v>330000000000</v>
      </c>
      <c r="H12" s="17">
        <v>-1.2</v>
      </c>
      <c r="I12" s="2">
        <v>2</v>
      </c>
    </row>
    <row r="13" spans="1:9">
      <c r="A13" t="s">
        <v>96</v>
      </c>
      <c r="B13" s="4">
        <v>1300000000000</v>
      </c>
      <c r="C13" s="24">
        <v>300000000000</v>
      </c>
      <c r="D13" s="25">
        <v>360000000000</v>
      </c>
      <c r="E13" s="21">
        <v>5300000000000</v>
      </c>
      <c r="F13" s="19">
        <v>3</v>
      </c>
      <c r="G13" s="23">
        <v>330000000000</v>
      </c>
      <c r="H13" s="17">
        <v>-1.2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2F43-6F7C-4715-8051-3524AB55651D}">
  <sheetPr codeName="Sheet17">
    <tabColor theme="9"/>
  </sheetPr>
  <dimension ref="A1:Q12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17</v>
      </c>
      <c r="B6" s="1">
        <v>1100000000000</v>
      </c>
      <c r="C6" s="1">
        <v>200000000000</v>
      </c>
      <c r="D6">
        <f>311000000000</f>
        <v>311000000000</v>
      </c>
      <c r="E6" s="26">
        <v>5400000000000</v>
      </c>
      <c r="F6" t="s">
        <v>17</v>
      </c>
      <c r="G6" s="1">
        <v>0.65300000000000002</v>
      </c>
      <c r="H6" s="1">
        <v>6.2E-2</v>
      </c>
      <c r="I6" s="1">
        <v>0.23799999999999999</v>
      </c>
      <c r="J6" s="1">
        <v>2.13</v>
      </c>
      <c r="K6" s="1">
        <v>-27</v>
      </c>
      <c r="L6" s="1">
        <v>9.0000000000000002E-41</v>
      </c>
      <c r="M6" s="1">
        <v>2.33</v>
      </c>
      <c r="N6" s="1">
        <v>0.2</v>
      </c>
      <c r="O6" s="1">
        <v>0.17</v>
      </c>
      <c r="P6" s="1">
        <v>0.38</v>
      </c>
      <c r="Q6" s="1">
        <v>0.39800000000000002</v>
      </c>
    </row>
    <row r="7" spans="1:17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t="s">
        <v>20</v>
      </c>
      <c r="G7" s="1">
        <v>0.65900000000000003</v>
      </c>
      <c r="H7" s="1">
        <v>6.2600000000000003E-2</v>
      </c>
      <c r="I7" s="1">
        <v>0.23799999999999999</v>
      </c>
      <c r="J7" s="1">
        <v>1.83</v>
      </c>
      <c r="K7" s="1">
        <v>-27</v>
      </c>
      <c r="L7" s="1">
        <v>3.1000000000000001E-40</v>
      </c>
      <c r="M7" s="1">
        <v>2.39</v>
      </c>
      <c r="N7" s="1">
        <v>0.2</v>
      </c>
      <c r="O7" s="1">
        <v>0.14000000000000001</v>
      </c>
      <c r="P7" s="1">
        <v>0.38</v>
      </c>
      <c r="Q7" s="1">
        <v>0.395666666666667</v>
      </c>
    </row>
    <row r="8" spans="1:17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t="s">
        <v>86</v>
      </c>
      <c r="G8" s="1">
        <v>0.66100000000000003</v>
      </c>
      <c r="H8" s="1">
        <v>6.2799999999999995E-2</v>
      </c>
      <c r="I8" s="1">
        <v>0.23799999999999999</v>
      </c>
      <c r="J8" s="1">
        <v>1.73</v>
      </c>
      <c r="K8" s="1">
        <v>-27</v>
      </c>
      <c r="L8" s="1">
        <v>3.5000000000000002E-40</v>
      </c>
      <c r="M8" s="1">
        <v>2.41</v>
      </c>
      <c r="N8" s="1">
        <v>0.2</v>
      </c>
      <c r="O8" s="1">
        <v>0.13</v>
      </c>
      <c r="P8" s="1">
        <v>0.38</v>
      </c>
      <c r="Q8" s="1">
        <v>0.394666666666667</v>
      </c>
    </row>
    <row r="9" spans="1:17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t="s">
        <v>87</v>
      </c>
      <c r="G9" s="1">
        <v>0.66300000000000003</v>
      </c>
      <c r="H9" s="1">
        <v>6.3E-2</v>
      </c>
      <c r="I9" s="1">
        <v>0.23799999999999999</v>
      </c>
      <c r="J9" s="1">
        <v>1.63</v>
      </c>
      <c r="K9" s="1">
        <v>-27</v>
      </c>
      <c r="L9" s="1">
        <v>3.8999999999999998E-40</v>
      </c>
      <c r="M9" s="1">
        <v>2.4300000000000002</v>
      </c>
      <c r="N9" s="1">
        <v>0.2</v>
      </c>
      <c r="O9" s="1">
        <v>0.12</v>
      </c>
      <c r="P9" s="1">
        <v>0.38</v>
      </c>
      <c r="Q9" s="1">
        <v>0.393666666666667</v>
      </c>
    </row>
    <row r="10" spans="1:17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t="s">
        <v>93</v>
      </c>
      <c r="G10" s="1">
        <v>0.66500000000000004</v>
      </c>
      <c r="H10" s="1">
        <v>6.3200000000000006E-2</v>
      </c>
      <c r="I10" s="1">
        <v>0.23799999999999999</v>
      </c>
      <c r="J10" s="1">
        <v>1.53</v>
      </c>
      <c r="K10" s="1">
        <v>-27</v>
      </c>
      <c r="L10" s="1">
        <v>4.3000000000000003E-40</v>
      </c>
      <c r="M10" s="1">
        <v>2.4500000000000002</v>
      </c>
      <c r="N10" s="1">
        <v>0.2</v>
      </c>
      <c r="O10" s="1">
        <v>0.11</v>
      </c>
      <c r="P10" s="1">
        <v>0.38</v>
      </c>
      <c r="Q10" s="1">
        <v>0.392666666666667</v>
      </c>
    </row>
    <row r="11" spans="1:17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t="s">
        <v>94</v>
      </c>
      <c r="G11" s="1">
        <v>0.66700000000000004</v>
      </c>
      <c r="H11" s="1">
        <v>6.3399999999999998E-2</v>
      </c>
      <c r="I11" s="1">
        <v>0.23799999999999999</v>
      </c>
      <c r="J11" s="1">
        <v>1.43</v>
      </c>
      <c r="K11" s="1">
        <v>-27</v>
      </c>
      <c r="L11" s="1">
        <v>4.6999999999999999E-40</v>
      </c>
      <c r="M11" s="1">
        <v>2.4700000000000002</v>
      </c>
      <c r="N11" s="1">
        <v>0.2</v>
      </c>
      <c r="O11" s="1">
        <v>0.1</v>
      </c>
      <c r="P11" s="1">
        <v>0.38</v>
      </c>
      <c r="Q11" s="1">
        <v>0.391666666666667</v>
      </c>
    </row>
    <row r="12" spans="1:17">
      <c r="A12" t="s">
        <v>96</v>
      </c>
      <c r="B12" s="4">
        <v>1300000000000</v>
      </c>
      <c r="C12" s="24">
        <v>300000000000</v>
      </c>
      <c r="D12" s="25">
        <v>360000000000</v>
      </c>
      <c r="E12" s="21">
        <v>5300000000000</v>
      </c>
      <c r="F12" t="s">
        <v>96</v>
      </c>
      <c r="G12" s="1">
        <v>0.67100000000000004</v>
      </c>
      <c r="H12" s="1">
        <v>6.3799999999999996E-2</v>
      </c>
      <c r="I12" s="1">
        <v>0.23799999999999999</v>
      </c>
      <c r="J12" s="1">
        <v>1.23</v>
      </c>
      <c r="K12" s="1">
        <v>-27</v>
      </c>
      <c r="L12" s="1">
        <v>5.5E-40</v>
      </c>
      <c r="M12" s="1">
        <v>2.5099999999999998</v>
      </c>
      <c r="N12" s="1">
        <v>0.2</v>
      </c>
      <c r="O12" s="1">
        <v>8.0000000000000099E-2</v>
      </c>
      <c r="P12" s="1">
        <v>0.38</v>
      </c>
      <c r="Q12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CD31"/>
  <sheetViews>
    <sheetView zoomScale="85" zoomScaleNormal="85" workbookViewId="0">
      <selection activeCell="M21" sqref="M21"/>
    </sheetView>
  </sheetViews>
  <sheetFormatPr defaultRowHeight="18.75"/>
  <sheetData>
    <row r="1" spans="1:82">
      <c r="A1" t="s">
        <v>243</v>
      </c>
    </row>
    <row r="5" spans="1:82">
      <c r="A5" t="s">
        <v>237</v>
      </c>
      <c r="B5" t="s">
        <v>24</v>
      </c>
      <c r="K5" t="s">
        <v>237</v>
      </c>
      <c r="L5" t="s">
        <v>118</v>
      </c>
      <c r="U5" t="s">
        <v>237</v>
      </c>
      <c r="V5" t="s">
        <v>118</v>
      </c>
      <c r="AE5" t="s">
        <v>237</v>
      </c>
      <c r="AF5" t="s">
        <v>118</v>
      </c>
      <c r="AO5" t="s">
        <v>237</v>
      </c>
      <c r="AP5" t="s">
        <v>118</v>
      </c>
      <c r="AY5" t="s">
        <v>237</v>
      </c>
      <c r="AZ5" t="s">
        <v>118</v>
      </c>
      <c r="BI5" t="s">
        <v>237</v>
      </c>
      <c r="BJ5" t="s">
        <v>24</v>
      </c>
      <c r="BS5" t="s">
        <v>237</v>
      </c>
      <c r="BT5" t="s">
        <v>24</v>
      </c>
      <c r="CC5" t="s">
        <v>237</v>
      </c>
      <c r="CD5" t="s">
        <v>118</v>
      </c>
    </row>
    <row r="6" spans="1:82">
      <c r="A6" t="s">
        <v>238</v>
      </c>
      <c r="B6" t="s">
        <v>242</v>
      </c>
      <c r="K6" t="s">
        <v>238</v>
      </c>
      <c r="L6" t="s">
        <v>36</v>
      </c>
      <c r="U6" t="s">
        <v>238</v>
      </c>
      <c r="V6" t="s">
        <v>37</v>
      </c>
      <c r="AE6" t="s">
        <v>238</v>
      </c>
      <c r="AF6" t="s">
        <v>38</v>
      </c>
      <c r="AO6" t="s">
        <v>238</v>
      </c>
      <c r="AP6" t="s">
        <v>39</v>
      </c>
      <c r="AY6" t="s">
        <v>238</v>
      </c>
      <c r="AZ6" t="s">
        <v>40</v>
      </c>
      <c r="BI6" t="s">
        <v>238</v>
      </c>
      <c r="BJ6" t="s">
        <v>41</v>
      </c>
      <c r="BS6" t="s">
        <v>238</v>
      </c>
      <c r="BT6" t="s">
        <v>42</v>
      </c>
      <c r="CC6" t="s">
        <v>238</v>
      </c>
      <c r="CD6" t="s">
        <v>78</v>
      </c>
    </row>
    <row r="7" spans="1:82">
      <c r="A7" t="s">
        <v>240</v>
      </c>
      <c r="B7" t="s">
        <v>241</v>
      </c>
      <c r="K7" t="s">
        <v>240</v>
      </c>
      <c r="L7" t="s">
        <v>249</v>
      </c>
      <c r="U7" t="s">
        <v>240</v>
      </c>
      <c r="V7" t="s">
        <v>249</v>
      </c>
      <c r="AE7" t="s">
        <v>240</v>
      </c>
      <c r="AF7" t="s">
        <v>250</v>
      </c>
      <c r="AO7" t="s">
        <v>240</v>
      </c>
      <c r="AP7" t="s">
        <v>251</v>
      </c>
      <c r="AY7" t="s">
        <v>240</v>
      </c>
      <c r="AZ7" t="s">
        <v>252</v>
      </c>
      <c r="BI7" t="s">
        <v>240</v>
      </c>
      <c r="BJ7" t="s">
        <v>241</v>
      </c>
      <c r="BS7" t="s">
        <v>240</v>
      </c>
      <c r="BT7" t="s">
        <v>241</v>
      </c>
      <c r="CC7" t="s">
        <v>240</v>
      </c>
      <c r="CD7" t="s">
        <v>241</v>
      </c>
    </row>
    <row r="8" spans="1:82">
      <c r="A8" t="s">
        <v>239</v>
      </c>
      <c r="B8" t="s">
        <v>68</v>
      </c>
      <c r="K8" t="s">
        <v>239</v>
      </c>
      <c r="L8" t="s">
        <v>70</v>
      </c>
      <c r="U8" t="s">
        <v>239</v>
      </c>
      <c r="V8" t="s">
        <v>72</v>
      </c>
      <c r="AE8" t="s">
        <v>239</v>
      </c>
      <c r="AF8" t="s">
        <v>74</v>
      </c>
      <c r="AO8" t="s">
        <v>239</v>
      </c>
      <c r="AP8" t="s">
        <v>244</v>
      </c>
      <c r="AY8" t="s">
        <v>239</v>
      </c>
      <c r="AZ8" t="s">
        <v>245</v>
      </c>
      <c r="BI8" t="s">
        <v>239</v>
      </c>
      <c r="BJ8" t="s">
        <v>84</v>
      </c>
      <c r="BS8" t="s">
        <v>239</v>
      </c>
      <c r="BT8" t="s">
        <v>246</v>
      </c>
      <c r="CC8" t="s">
        <v>239</v>
      </c>
      <c r="CD8" t="s">
        <v>247</v>
      </c>
    </row>
    <row r="9" spans="1:82">
      <c r="A9" t="s">
        <v>15</v>
      </c>
      <c r="B9">
        <v>0.64900000000000002</v>
      </c>
      <c r="K9" t="s">
        <v>15</v>
      </c>
      <c r="L9">
        <v>6.1600000000000002E-2</v>
      </c>
      <c r="U9" t="s">
        <v>15</v>
      </c>
      <c r="V9">
        <v>0.23799999999999999</v>
      </c>
      <c r="AE9" t="s">
        <v>15</v>
      </c>
      <c r="AF9">
        <v>2.33</v>
      </c>
      <c r="AO9" t="s">
        <v>15</v>
      </c>
      <c r="AP9">
        <v>-27</v>
      </c>
      <c r="AY9" t="s">
        <v>15</v>
      </c>
      <c r="AZ9">
        <v>1.1E-40</v>
      </c>
      <c r="BI9" t="s">
        <v>15</v>
      </c>
      <c r="BJ9">
        <v>2.29</v>
      </c>
      <c r="BS9" t="s">
        <v>15</v>
      </c>
      <c r="BT9">
        <v>0.2</v>
      </c>
      <c r="CC9" t="s">
        <v>15</v>
      </c>
      <c r="CD9">
        <v>0.19</v>
      </c>
    </row>
    <row r="10" spans="1:82">
      <c r="A10" t="s">
        <v>17</v>
      </c>
      <c r="B10">
        <v>0.65300000000000002</v>
      </c>
      <c r="K10" t="s">
        <v>17</v>
      </c>
      <c r="L10">
        <v>6.2E-2</v>
      </c>
      <c r="U10" t="s">
        <v>17</v>
      </c>
      <c r="V10">
        <v>0.23799999999999999</v>
      </c>
      <c r="AE10" t="s">
        <v>17</v>
      </c>
      <c r="AF10">
        <v>2.13</v>
      </c>
      <c r="AO10" t="s">
        <v>17</v>
      </c>
      <c r="AP10">
        <v>-27</v>
      </c>
      <c r="AY10" t="s">
        <v>17</v>
      </c>
      <c r="AZ10">
        <v>9.0000000000000002E-41</v>
      </c>
      <c r="BI10" t="s">
        <v>17</v>
      </c>
      <c r="BJ10">
        <v>2.33</v>
      </c>
      <c r="BS10" t="s">
        <v>17</v>
      </c>
      <c r="BT10">
        <v>0.2</v>
      </c>
      <c r="CC10" t="s">
        <v>17</v>
      </c>
      <c r="CD10">
        <v>0.17</v>
      </c>
    </row>
    <row r="11" spans="1:82">
      <c r="A11" t="s">
        <v>20</v>
      </c>
      <c r="B11">
        <v>0.65900000000000003</v>
      </c>
      <c r="K11" t="s">
        <v>20</v>
      </c>
      <c r="L11">
        <v>6.2600000000000003E-2</v>
      </c>
      <c r="U11" t="s">
        <v>20</v>
      </c>
      <c r="V11">
        <v>0.23799999999999999</v>
      </c>
      <c r="AE11" t="s">
        <v>20</v>
      </c>
      <c r="AF11">
        <v>1.83</v>
      </c>
      <c r="AO11" t="s">
        <v>20</v>
      </c>
      <c r="AP11">
        <v>-27</v>
      </c>
      <c r="AY11" t="s">
        <v>20</v>
      </c>
      <c r="AZ11">
        <v>3.1000000000000001E-40</v>
      </c>
      <c r="BI11" t="s">
        <v>20</v>
      </c>
      <c r="BJ11">
        <v>2.39</v>
      </c>
      <c r="BS11" t="s">
        <v>20</v>
      </c>
      <c r="BT11">
        <v>0.2</v>
      </c>
      <c r="CC11" t="s">
        <v>20</v>
      </c>
      <c r="CD11">
        <v>0.14000000000000001</v>
      </c>
    </row>
    <row r="12" spans="1:82">
      <c r="A12" t="s">
        <v>86</v>
      </c>
      <c r="B12">
        <v>0.66100000000000003</v>
      </c>
      <c r="K12" t="s">
        <v>86</v>
      </c>
      <c r="L12">
        <v>6.2799999999999995E-2</v>
      </c>
      <c r="U12" t="s">
        <v>86</v>
      </c>
      <c r="V12">
        <v>0.23799999999999999</v>
      </c>
      <c r="AE12" t="s">
        <v>86</v>
      </c>
      <c r="AF12">
        <v>1.73</v>
      </c>
      <c r="AO12" t="s">
        <v>86</v>
      </c>
      <c r="AP12">
        <v>-27</v>
      </c>
      <c r="AY12" t="s">
        <v>86</v>
      </c>
      <c r="AZ12">
        <v>3.5000000000000002E-40</v>
      </c>
      <c r="BI12" t="s">
        <v>86</v>
      </c>
      <c r="BJ12">
        <v>2.41</v>
      </c>
      <c r="BS12" t="s">
        <v>86</v>
      </c>
      <c r="BT12">
        <v>0.2</v>
      </c>
      <c r="CC12" t="s">
        <v>86</v>
      </c>
      <c r="CD12">
        <v>0.13</v>
      </c>
    </row>
    <row r="13" spans="1:82">
      <c r="A13" t="s">
        <v>87</v>
      </c>
      <c r="B13">
        <v>0.66300000000000003</v>
      </c>
      <c r="K13" t="s">
        <v>87</v>
      </c>
      <c r="L13">
        <v>6.3E-2</v>
      </c>
      <c r="U13" t="s">
        <v>87</v>
      </c>
      <c r="V13">
        <v>0.23799999999999999</v>
      </c>
      <c r="AE13" t="s">
        <v>87</v>
      </c>
      <c r="AF13">
        <v>1.63</v>
      </c>
      <c r="AO13" t="s">
        <v>87</v>
      </c>
      <c r="AP13">
        <v>-27</v>
      </c>
      <c r="AY13" t="s">
        <v>87</v>
      </c>
      <c r="AZ13">
        <v>3.8999999999999998E-40</v>
      </c>
      <c r="BI13" t="s">
        <v>87</v>
      </c>
      <c r="BJ13">
        <v>2.4300000000000002</v>
      </c>
      <c r="BS13" t="s">
        <v>87</v>
      </c>
      <c r="BT13">
        <v>0.2</v>
      </c>
      <c r="CC13" t="s">
        <v>87</v>
      </c>
      <c r="CD13">
        <v>0.12</v>
      </c>
    </row>
    <row r="14" spans="1:82">
      <c r="A14" t="s">
        <v>93</v>
      </c>
      <c r="B14">
        <v>0.66500000000000004</v>
      </c>
      <c r="K14" t="s">
        <v>93</v>
      </c>
      <c r="L14">
        <v>6.3200000000000006E-2</v>
      </c>
      <c r="U14" t="s">
        <v>93</v>
      </c>
      <c r="V14">
        <v>0.23799999999999999</v>
      </c>
      <c r="AE14" t="s">
        <v>93</v>
      </c>
      <c r="AF14">
        <v>1.53</v>
      </c>
      <c r="AO14" t="s">
        <v>93</v>
      </c>
      <c r="AP14">
        <v>-27</v>
      </c>
      <c r="AY14" t="s">
        <v>93</v>
      </c>
      <c r="AZ14">
        <v>4.3000000000000003E-40</v>
      </c>
      <c r="BI14" t="s">
        <v>93</v>
      </c>
      <c r="BJ14">
        <v>2.4500000000000002</v>
      </c>
      <c r="BS14" t="s">
        <v>93</v>
      </c>
      <c r="BT14">
        <v>0.2</v>
      </c>
      <c r="CC14" t="s">
        <v>93</v>
      </c>
      <c r="CD14">
        <v>0.11</v>
      </c>
    </row>
    <row r="15" spans="1:82">
      <c r="A15" t="s">
        <v>94</v>
      </c>
      <c r="B15">
        <v>0.66700000000000004</v>
      </c>
      <c r="K15" t="s">
        <v>94</v>
      </c>
      <c r="L15">
        <v>6.3399999999999998E-2</v>
      </c>
      <c r="U15" t="s">
        <v>94</v>
      </c>
      <c r="V15">
        <v>0.23799999999999999</v>
      </c>
      <c r="AE15" t="s">
        <v>94</v>
      </c>
      <c r="AF15">
        <v>1.43</v>
      </c>
      <c r="AO15" t="s">
        <v>94</v>
      </c>
      <c r="AP15">
        <v>-27</v>
      </c>
      <c r="AY15" t="s">
        <v>94</v>
      </c>
      <c r="AZ15">
        <v>4.6999999999999999E-40</v>
      </c>
      <c r="BI15" t="s">
        <v>94</v>
      </c>
      <c r="BJ15">
        <v>2.4700000000000002</v>
      </c>
      <c r="BS15" t="s">
        <v>94</v>
      </c>
      <c r="BT15">
        <v>0.2</v>
      </c>
      <c r="CC15" t="s">
        <v>94</v>
      </c>
      <c r="CD15">
        <v>0.1</v>
      </c>
    </row>
    <row r="16" spans="1:82">
      <c r="A16" t="s">
        <v>96</v>
      </c>
      <c r="B16">
        <v>0.67100000000000004</v>
      </c>
      <c r="K16" t="s">
        <v>96</v>
      </c>
      <c r="L16">
        <v>6.3799999999999996E-2</v>
      </c>
      <c r="U16" t="s">
        <v>96</v>
      </c>
      <c r="V16">
        <v>0.23799999999999999</v>
      </c>
      <c r="AE16" t="s">
        <v>96</v>
      </c>
      <c r="AF16">
        <v>1.23</v>
      </c>
      <c r="AO16" t="s">
        <v>96</v>
      </c>
      <c r="AP16">
        <v>-27</v>
      </c>
      <c r="AY16" t="s">
        <v>96</v>
      </c>
      <c r="AZ16">
        <v>5.5E-40</v>
      </c>
      <c r="BI16" t="s">
        <v>96</v>
      </c>
      <c r="BJ16">
        <v>2.5099999999999998</v>
      </c>
      <c r="BS16" t="s">
        <v>96</v>
      </c>
      <c r="BT16">
        <v>0.2</v>
      </c>
      <c r="CC16" t="s">
        <v>96</v>
      </c>
      <c r="CD16">
        <v>8.0000000000000099E-2</v>
      </c>
    </row>
    <row r="20" spans="1:12">
      <c r="A20" t="s">
        <v>237</v>
      </c>
      <c r="B20" t="s">
        <v>119</v>
      </c>
      <c r="K20" t="s">
        <v>237</v>
      </c>
      <c r="L20" t="s">
        <v>119</v>
      </c>
    </row>
    <row r="21" spans="1:12">
      <c r="A21" t="s">
        <v>238</v>
      </c>
      <c r="B21" t="s">
        <v>242</v>
      </c>
      <c r="K21" t="s">
        <v>238</v>
      </c>
      <c r="L21" t="s">
        <v>36</v>
      </c>
    </row>
    <row r="22" spans="1:12">
      <c r="A22" t="s">
        <v>240</v>
      </c>
      <c r="B22" t="s">
        <v>119</v>
      </c>
      <c r="K22" t="s">
        <v>240</v>
      </c>
      <c r="L22" t="s">
        <v>119</v>
      </c>
    </row>
    <row r="23" spans="1:12">
      <c r="A23" t="s">
        <v>239</v>
      </c>
      <c r="B23" t="s">
        <v>248</v>
      </c>
      <c r="K23" t="s">
        <v>239</v>
      </c>
      <c r="L23" t="s">
        <v>85</v>
      </c>
    </row>
    <row r="24" spans="1:12">
      <c r="A24" t="s">
        <v>15</v>
      </c>
      <c r="B24">
        <v>0.38</v>
      </c>
      <c r="K24" t="s">
        <v>15</v>
      </c>
      <c r="L24">
        <v>0.4</v>
      </c>
    </row>
    <row r="25" spans="1:12">
      <c r="A25" t="s">
        <v>17</v>
      </c>
      <c r="B25">
        <v>0.38</v>
      </c>
      <c r="K25" t="s">
        <v>17</v>
      </c>
      <c r="L25">
        <v>0.39800000000000002</v>
      </c>
    </row>
    <row r="26" spans="1:12">
      <c r="A26" t="s">
        <v>20</v>
      </c>
      <c r="B26">
        <v>0.38</v>
      </c>
      <c r="K26" t="s">
        <v>20</v>
      </c>
      <c r="L26">
        <v>0.395666666666667</v>
      </c>
    </row>
    <row r="27" spans="1:12">
      <c r="A27" t="s">
        <v>86</v>
      </c>
      <c r="B27">
        <v>0.38</v>
      </c>
      <c r="K27" t="s">
        <v>86</v>
      </c>
      <c r="L27">
        <v>0.394666666666667</v>
      </c>
    </row>
    <row r="28" spans="1:12">
      <c r="A28" t="s">
        <v>87</v>
      </c>
      <c r="B28">
        <v>0.38</v>
      </c>
      <c r="K28" t="s">
        <v>87</v>
      </c>
      <c r="L28">
        <v>0.393666666666667</v>
      </c>
    </row>
    <row r="29" spans="1:12">
      <c r="A29" t="s">
        <v>93</v>
      </c>
      <c r="B29">
        <v>0.38</v>
      </c>
      <c r="K29" t="s">
        <v>93</v>
      </c>
      <c r="L29">
        <v>0.392666666666667</v>
      </c>
    </row>
    <row r="30" spans="1:12">
      <c r="A30" t="s">
        <v>94</v>
      </c>
      <c r="B30">
        <v>0.38</v>
      </c>
      <c r="K30" t="s">
        <v>94</v>
      </c>
      <c r="L30">
        <v>0.391666666666667</v>
      </c>
    </row>
    <row r="31" spans="1:12">
      <c r="A31" t="s">
        <v>96</v>
      </c>
      <c r="B31">
        <v>0.38</v>
      </c>
      <c r="K31" t="s">
        <v>96</v>
      </c>
      <c r="L3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L12"/>
  <sheetViews>
    <sheetView workbookViewId="0">
      <selection activeCell="A5" sqref="A5:XFD5"/>
    </sheetView>
  </sheetViews>
  <sheetFormatPr defaultRowHeight="18.75"/>
  <sheetData>
    <row r="1" spans="1:12">
      <c r="A1" t="s">
        <v>27</v>
      </c>
      <c r="B1" t="s">
        <v>30</v>
      </c>
      <c r="C1" t="s">
        <v>35</v>
      </c>
      <c r="D1" t="s">
        <v>35</v>
      </c>
      <c r="E1" t="s">
        <v>35</v>
      </c>
      <c r="F1" t="s">
        <v>35</v>
      </c>
      <c r="G1" t="s">
        <v>35</v>
      </c>
      <c r="H1" t="s">
        <v>30</v>
      </c>
      <c r="I1" t="s">
        <v>30</v>
      </c>
      <c r="J1" t="s">
        <v>35</v>
      </c>
      <c r="K1" t="s">
        <v>150</v>
      </c>
      <c r="L1" t="s">
        <v>150</v>
      </c>
    </row>
    <row r="2" spans="1:12">
      <c r="A2" t="s">
        <v>82</v>
      </c>
      <c r="B2" t="s">
        <v>29</v>
      </c>
      <c r="C2" t="s">
        <v>92</v>
      </c>
      <c r="D2" t="s">
        <v>151</v>
      </c>
      <c r="E2" t="s">
        <v>152</v>
      </c>
      <c r="F2" t="s">
        <v>153</v>
      </c>
      <c r="G2" t="s">
        <v>154</v>
      </c>
      <c r="H2" t="s">
        <v>155</v>
      </c>
      <c r="I2" t="s">
        <v>156</v>
      </c>
      <c r="J2" t="s">
        <v>157</v>
      </c>
      <c r="K2" t="s">
        <v>29</v>
      </c>
      <c r="L2" t="s">
        <v>92</v>
      </c>
    </row>
    <row r="3" spans="1:12">
      <c r="A3" t="s">
        <v>28</v>
      </c>
      <c r="B3" t="s">
        <v>33</v>
      </c>
      <c r="C3" t="s">
        <v>34</v>
      </c>
      <c r="D3" t="s">
        <v>34</v>
      </c>
      <c r="E3" t="s">
        <v>79</v>
      </c>
      <c r="F3" t="s">
        <v>80</v>
      </c>
      <c r="G3" t="s">
        <v>81</v>
      </c>
      <c r="H3" t="s">
        <v>33</v>
      </c>
      <c r="I3" t="s">
        <v>33</v>
      </c>
      <c r="J3" t="s">
        <v>33</v>
      </c>
      <c r="K3" t="s">
        <v>150</v>
      </c>
      <c r="L3" t="s">
        <v>150</v>
      </c>
    </row>
    <row r="4" spans="1:12">
      <c r="A4" t="s">
        <v>21</v>
      </c>
      <c r="B4" t="s">
        <v>69</v>
      </c>
      <c r="C4" t="s">
        <v>71</v>
      </c>
      <c r="D4" t="s">
        <v>73</v>
      </c>
      <c r="E4" t="s">
        <v>7</v>
      </c>
      <c r="F4" t="s">
        <v>31</v>
      </c>
      <c r="G4" t="s">
        <v>32</v>
      </c>
      <c r="H4" t="s">
        <v>5</v>
      </c>
      <c r="I4" t="s">
        <v>76</v>
      </c>
      <c r="J4" t="s">
        <v>77</v>
      </c>
      <c r="K4" t="s">
        <v>75</v>
      </c>
      <c r="L4" t="s">
        <v>83</v>
      </c>
    </row>
    <row r="5" spans="1:12">
      <c r="A5" t="s">
        <v>158</v>
      </c>
      <c r="B5">
        <v>0.64900000000000002</v>
      </c>
      <c r="C5">
        <v>6.1600000000000002E-2</v>
      </c>
      <c r="D5">
        <v>0.23799999999999999</v>
      </c>
      <c r="E5">
        <v>2.33</v>
      </c>
      <c r="F5">
        <v>-27</v>
      </c>
      <c r="G5">
        <v>1.1E-40</v>
      </c>
      <c r="H5">
        <v>2.29</v>
      </c>
      <c r="I5">
        <v>0.2</v>
      </c>
      <c r="J5">
        <v>0.19</v>
      </c>
      <c r="K5">
        <v>0.38</v>
      </c>
      <c r="L5">
        <v>0.4</v>
      </c>
    </row>
    <row r="6" spans="1:12">
      <c r="A6" t="s">
        <v>159</v>
      </c>
      <c r="B6">
        <v>0.65300000000000002</v>
      </c>
      <c r="C6">
        <v>6.2E-2</v>
      </c>
      <c r="D6">
        <v>0.23799999999999999</v>
      </c>
      <c r="E6">
        <v>2.13</v>
      </c>
      <c r="F6">
        <v>-27</v>
      </c>
      <c r="G6">
        <v>9.0000000000000002E-41</v>
      </c>
      <c r="H6">
        <v>2.33</v>
      </c>
      <c r="I6">
        <v>0.2</v>
      </c>
      <c r="J6">
        <v>0.17</v>
      </c>
      <c r="K6">
        <v>0.38</v>
      </c>
      <c r="L6">
        <v>0.39800000000000002</v>
      </c>
    </row>
    <row r="7" spans="1:12">
      <c r="A7" t="s">
        <v>160</v>
      </c>
      <c r="B7">
        <v>0.65900000000000003</v>
      </c>
      <c r="C7">
        <v>6.2600000000000003E-2</v>
      </c>
      <c r="D7">
        <v>0.23799999999999999</v>
      </c>
      <c r="E7">
        <v>1.83</v>
      </c>
      <c r="F7">
        <v>-27</v>
      </c>
      <c r="G7">
        <v>3.1000000000000001E-40</v>
      </c>
      <c r="H7">
        <v>2.39</v>
      </c>
      <c r="I7">
        <v>0.2</v>
      </c>
      <c r="J7">
        <v>0.14000000000000001</v>
      </c>
      <c r="K7">
        <v>0.38</v>
      </c>
      <c r="L7">
        <v>0.395666666666667</v>
      </c>
    </row>
    <row r="8" spans="1:12">
      <c r="A8" t="s">
        <v>161</v>
      </c>
      <c r="B8">
        <v>0.66100000000000003</v>
      </c>
      <c r="C8">
        <v>6.2799999999999995E-2</v>
      </c>
      <c r="D8">
        <v>0.23799999999999999</v>
      </c>
      <c r="E8">
        <v>1.73</v>
      </c>
      <c r="F8">
        <v>-27</v>
      </c>
      <c r="G8">
        <v>3.5000000000000002E-40</v>
      </c>
      <c r="H8">
        <v>2.41</v>
      </c>
      <c r="I8">
        <v>0.2</v>
      </c>
      <c r="J8">
        <v>0.13</v>
      </c>
      <c r="K8">
        <v>0.38</v>
      </c>
      <c r="L8">
        <v>0.394666666666667</v>
      </c>
    </row>
    <row r="9" spans="1:12">
      <c r="A9" t="s">
        <v>162</v>
      </c>
      <c r="B9">
        <v>0.66300000000000003</v>
      </c>
      <c r="C9">
        <v>6.3E-2</v>
      </c>
      <c r="D9">
        <v>0.23799999999999999</v>
      </c>
      <c r="E9">
        <v>1.63</v>
      </c>
      <c r="F9">
        <v>-27</v>
      </c>
      <c r="G9">
        <v>3.8999999999999998E-40</v>
      </c>
      <c r="H9">
        <v>2.4300000000000002</v>
      </c>
      <c r="I9">
        <v>0.2</v>
      </c>
      <c r="J9">
        <v>0.12</v>
      </c>
      <c r="K9">
        <v>0.38</v>
      </c>
      <c r="L9">
        <v>0.393666666666667</v>
      </c>
    </row>
    <row r="10" spans="1:12">
      <c r="A10" t="s">
        <v>163</v>
      </c>
      <c r="B10">
        <v>0.66500000000000004</v>
      </c>
      <c r="C10">
        <v>6.3200000000000006E-2</v>
      </c>
      <c r="D10">
        <v>0.23799999999999999</v>
      </c>
      <c r="E10">
        <v>1.53</v>
      </c>
      <c r="F10">
        <v>-27</v>
      </c>
      <c r="G10">
        <v>4.3000000000000003E-40</v>
      </c>
      <c r="H10">
        <v>2.4500000000000002</v>
      </c>
      <c r="I10">
        <v>0.2</v>
      </c>
      <c r="J10">
        <v>0.11</v>
      </c>
      <c r="K10">
        <v>0.38</v>
      </c>
      <c r="L10">
        <v>0.392666666666667</v>
      </c>
    </row>
    <row r="11" spans="1:12">
      <c r="A11" t="s">
        <v>164</v>
      </c>
      <c r="B11">
        <v>0.66700000000000004</v>
      </c>
      <c r="C11">
        <v>6.3399999999999998E-2</v>
      </c>
      <c r="D11">
        <v>0.23799999999999999</v>
      </c>
      <c r="E11">
        <v>1.43</v>
      </c>
      <c r="F11">
        <v>-27</v>
      </c>
      <c r="G11">
        <v>4.6999999999999999E-40</v>
      </c>
      <c r="H11">
        <v>2.4700000000000002</v>
      </c>
      <c r="I11">
        <v>0.2</v>
      </c>
      <c r="J11">
        <v>0.1</v>
      </c>
      <c r="K11">
        <v>0.38</v>
      </c>
      <c r="L11">
        <v>0.391666666666667</v>
      </c>
    </row>
    <row r="12" spans="1:12">
      <c r="A12" t="s">
        <v>165</v>
      </c>
      <c r="B12">
        <v>0.67100000000000004</v>
      </c>
      <c r="C12">
        <v>6.3799999999999996E-2</v>
      </c>
      <c r="D12">
        <v>0.23799999999999999</v>
      </c>
      <c r="E12">
        <v>1.23</v>
      </c>
      <c r="F12">
        <v>-27</v>
      </c>
      <c r="G12">
        <v>5.5E-40</v>
      </c>
      <c r="H12">
        <v>2.5099999999999998</v>
      </c>
      <c r="I12">
        <v>0.2</v>
      </c>
      <c r="J12">
        <v>8.0000000000000099E-2</v>
      </c>
      <c r="K12">
        <v>0.38</v>
      </c>
      <c r="L12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37"/>
  <sheetViews>
    <sheetView zoomScaleNormal="100" workbookViewId="0"/>
  </sheetViews>
  <sheetFormatPr defaultRowHeight="18.75"/>
  <sheetData>
    <row r="1" spans="1:5">
      <c r="A1" t="s">
        <v>121</v>
      </c>
    </row>
    <row r="4" spans="1:5">
      <c r="A4" t="s">
        <v>226</v>
      </c>
    </row>
    <row r="5" spans="1:5">
      <c r="B5" t="s">
        <v>123</v>
      </c>
    </row>
    <row r="6" spans="1:5">
      <c r="A6" t="s">
        <v>124</v>
      </c>
      <c r="B6" t="s">
        <v>231</v>
      </c>
      <c r="C6" t="s">
        <v>232</v>
      </c>
      <c r="D6" t="s">
        <v>233</v>
      </c>
      <c r="E6" t="s">
        <v>234</v>
      </c>
    </row>
    <row r="7" spans="1:5">
      <c r="A7">
        <v>5200000000000</v>
      </c>
      <c r="B7">
        <v>0.64900000000000002</v>
      </c>
    </row>
    <row r="8" spans="1:5">
      <c r="A8">
        <v>5400000000000</v>
      </c>
      <c r="B8">
        <v>0.65300000000000002</v>
      </c>
      <c r="E8">
        <v>0.65900000000000003</v>
      </c>
    </row>
    <row r="9" spans="1:5">
      <c r="A9">
        <v>5500000000000</v>
      </c>
      <c r="E9">
        <v>0.66100000000000003</v>
      </c>
    </row>
    <row r="10" spans="1:5">
      <c r="A10">
        <v>5300000000000</v>
      </c>
    </row>
    <row r="13" spans="1:5">
      <c r="A13" t="s">
        <v>227</v>
      </c>
    </row>
    <row r="14" spans="1:5">
      <c r="B14" t="s">
        <v>123</v>
      </c>
    </row>
    <row r="15" spans="1:5">
      <c r="A15" t="s">
        <v>124</v>
      </c>
      <c r="B15" t="s">
        <v>231</v>
      </c>
      <c r="C15" t="s">
        <v>232</v>
      </c>
      <c r="D15" t="s">
        <v>233</v>
      </c>
      <c r="E15" t="s">
        <v>234</v>
      </c>
    </row>
    <row r="16" spans="1:5">
      <c r="A16">
        <v>5200000000000</v>
      </c>
      <c r="B16">
        <v>2.33</v>
      </c>
    </row>
    <row r="17" spans="1:5">
      <c r="A17">
        <v>5400000000000</v>
      </c>
      <c r="B17">
        <v>2.13</v>
      </c>
      <c r="E17">
        <v>1.83</v>
      </c>
    </row>
    <row r="18" spans="1:5">
      <c r="A18">
        <v>5500000000000</v>
      </c>
      <c r="E18">
        <v>1.73</v>
      </c>
    </row>
    <row r="19" spans="1:5">
      <c r="A19">
        <v>5300000000000</v>
      </c>
    </row>
    <row r="22" spans="1:5">
      <c r="A22" t="s">
        <v>228</v>
      </c>
    </row>
    <row r="23" spans="1:5">
      <c r="B23" t="s">
        <v>123</v>
      </c>
    </row>
    <row r="24" spans="1:5">
      <c r="A24" t="s">
        <v>124</v>
      </c>
      <c r="B24" t="s">
        <v>231</v>
      </c>
      <c r="C24" t="s">
        <v>232</v>
      </c>
      <c r="D24" t="s">
        <v>233</v>
      </c>
      <c r="E24" t="s">
        <v>234</v>
      </c>
    </row>
    <row r="25" spans="1:5">
      <c r="A25">
        <v>5200000000000</v>
      </c>
      <c r="B25">
        <v>2.29</v>
      </c>
    </row>
    <row r="26" spans="1:5">
      <c r="A26">
        <v>5400000000000</v>
      </c>
      <c r="B26">
        <v>2.33</v>
      </c>
      <c r="E26">
        <v>2.39</v>
      </c>
    </row>
    <row r="27" spans="1:5">
      <c r="A27">
        <v>5500000000000</v>
      </c>
      <c r="E27">
        <v>2.41</v>
      </c>
    </row>
    <row r="28" spans="1:5">
      <c r="A28">
        <v>5300000000000</v>
      </c>
    </row>
    <row r="31" spans="1:5">
      <c r="A31" t="s">
        <v>229</v>
      </c>
    </row>
    <row r="32" spans="1:5">
      <c r="B32" t="s">
        <v>123</v>
      </c>
    </row>
    <row r="33" spans="1:5">
      <c r="A33" t="s">
        <v>124</v>
      </c>
      <c r="B33" t="s">
        <v>231</v>
      </c>
      <c r="C33" t="s">
        <v>232</v>
      </c>
      <c r="D33" t="s">
        <v>233</v>
      </c>
      <c r="E33" t="s">
        <v>234</v>
      </c>
    </row>
    <row r="34" spans="1:5">
      <c r="A34">
        <v>5200000000000</v>
      </c>
      <c r="B34">
        <v>0.4</v>
      </c>
    </row>
    <row r="35" spans="1:5">
      <c r="A35">
        <v>5400000000000</v>
      </c>
      <c r="B35">
        <v>0.39800000000000002</v>
      </c>
      <c r="E35">
        <v>0.395666666666667</v>
      </c>
    </row>
    <row r="36" spans="1:5">
      <c r="A36">
        <v>5500000000000</v>
      </c>
      <c r="E36">
        <v>0.394666666666667</v>
      </c>
    </row>
    <row r="37" spans="1:5">
      <c r="A37">
        <v>5300000000000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17"/>
  <sheetViews>
    <sheetView workbookViewId="0">
      <selection activeCell="G16" sqref="G16"/>
    </sheetView>
  </sheetViews>
  <sheetFormatPr defaultRowHeight="18.75"/>
  <cols>
    <col min="1" max="16384" width="9" style="13"/>
  </cols>
  <sheetData>
    <row r="1" spans="1:5">
      <c r="A1" s="13" t="s">
        <v>236</v>
      </c>
    </row>
    <row r="2" spans="1:5">
      <c r="A2" s="13" t="s">
        <v>146</v>
      </c>
    </row>
    <row r="3" spans="1:5">
      <c r="A3" s="13" t="s">
        <v>147</v>
      </c>
    </row>
    <row r="4" spans="1:5">
      <c r="A4" s="13" t="s">
        <v>235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B16" t="s">
        <v>75</v>
      </c>
      <c r="C16" t="s">
        <v>119</v>
      </c>
      <c r="D16" t="s">
        <v>29</v>
      </c>
      <c r="E16" t="s">
        <v>119</v>
      </c>
    </row>
    <row r="17" spans="2:5">
      <c r="B17" t="s">
        <v>83</v>
      </c>
      <c r="C17" t="s">
        <v>119</v>
      </c>
      <c r="D17" t="s">
        <v>92</v>
      </c>
      <c r="E17" t="s">
        <v>119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133</v>
      </c>
      <c r="C6" t="s">
        <v>134</v>
      </c>
      <c r="D6" t="s">
        <v>135</v>
      </c>
      <c r="E6" t="s">
        <v>136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133</v>
      </c>
      <c r="C14" t="s">
        <v>134</v>
      </c>
      <c r="D14" t="s">
        <v>135</v>
      </c>
      <c r="E14" t="s">
        <v>136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133</v>
      </c>
      <c r="C22" t="s">
        <v>134</v>
      </c>
      <c r="D22" t="s">
        <v>135</v>
      </c>
      <c r="E22" t="s">
        <v>136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133</v>
      </c>
      <c r="C30" t="s">
        <v>134</v>
      </c>
      <c r="D30" t="s">
        <v>135</v>
      </c>
      <c r="E30" t="s">
        <v>136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t="s">
        <v>15</v>
      </c>
      <c r="B2" s="1">
        <v>1100000000000</v>
      </c>
      <c r="C2" s="1">
        <v>200000000000</v>
      </c>
      <c r="D2">
        <f>311000000000</f>
        <v>311000000000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t="s">
        <v>16</v>
      </c>
      <c r="B3" s="1">
        <v>1100000000000</v>
      </c>
      <c r="C3" s="1">
        <v>200000000000</v>
      </c>
      <c r="D3">
        <f>311000000000</f>
        <v>311000000000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t="s">
        <v>17</v>
      </c>
      <c r="B4" s="1">
        <v>1100000000000</v>
      </c>
      <c r="C4" s="1">
        <v>200000000000</v>
      </c>
      <c r="D4">
        <f>311000000000</f>
        <v>311000000000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t="s">
        <v>211</v>
      </c>
      <c r="B5" s="4">
        <v>1200000000000</v>
      </c>
      <c r="C5" s="1">
        <v>200000000000</v>
      </c>
      <c r="D5" s="23">
        <v>330000000000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t="s">
        <v>19</v>
      </c>
      <c r="B6" s="4">
        <v>1200000000000</v>
      </c>
      <c r="C6" s="1">
        <v>200000000000</v>
      </c>
      <c r="D6" s="23">
        <v>330000000000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s="2">
        <v>1</v>
      </c>
      <c r="G8" s="23">
        <v>330000000000</v>
      </c>
      <c r="H8" s="17">
        <v>-1.2</v>
      </c>
      <c r="I8" s="2">
        <v>2</v>
      </c>
    </row>
    <row r="9" spans="1:9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s="18">
        <v>2</v>
      </c>
      <c r="G9" s="23">
        <v>330000000000</v>
      </c>
      <c r="H9" s="17">
        <v>-1.2</v>
      </c>
      <c r="I9" s="2">
        <v>2</v>
      </c>
    </row>
    <row r="10" spans="1:9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s="19">
        <v>3</v>
      </c>
      <c r="G10" s="23">
        <v>330000000000</v>
      </c>
      <c r="H10" s="17">
        <v>-1.2</v>
      </c>
      <c r="I10" s="2">
        <v>2</v>
      </c>
    </row>
    <row r="11" spans="1:9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s="2">
        <v>1</v>
      </c>
      <c r="G11" s="23">
        <v>330000000000</v>
      </c>
      <c r="H11" s="17">
        <v>-1.2</v>
      </c>
      <c r="I11" s="2">
        <v>2</v>
      </c>
    </row>
    <row r="12" spans="1:9">
      <c r="A12" t="s">
        <v>95</v>
      </c>
      <c r="B12" s="4">
        <v>1300000000000</v>
      </c>
      <c r="C12" s="24">
        <v>300000000000</v>
      </c>
      <c r="D12" s="25">
        <v>360000000000</v>
      </c>
      <c r="E12" s="1">
        <v>5200000000000</v>
      </c>
      <c r="F12" s="18">
        <v>2</v>
      </c>
      <c r="G12" s="23">
        <v>330000000000</v>
      </c>
      <c r="H12" s="17">
        <v>-1.2</v>
      </c>
      <c r="I12" s="2">
        <v>2</v>
      </c>
    </row>
    <row r="13" spans="1:9">
      <c r="A13" t="s">
        <v>96</v>
      </c>
      <c r="B13" s="4">
        <v>1300000000000</v>
      </c>
      <c r="C13" s="24">
        <v>300000000000</v>
      </c>
      <c r="D13" s="25">
        <v>360000000000</v>
      </c>
      <c r="E13" s="21">
        <v>5300000000000</v>
      </c>
      <c r="F13" s="19">
        <v>3</v>
      </c>
      <c r="G13" s="23">
        <v>330000000000</v>
      </c>
      <c r="H13" s="17">
        <v>-1.2</v>
      </c>
      <c r="I13" s="2">
        <v>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B10"/>
  <sheetViews>
    <sheetView zoomScale="70" zoomScaleNormal="70" workbookViewId="0">
      <selection activeCell="E3" sqref="E3:I6"/>
    </sheetView>
  </sheetViews>
  <sheetFormatPr defaultRowHeight="18.75"/>
  <sheetData>
    <row r="1" spans="1:28">
      <c r="A1" t="s">
        <v>137</v>
      </c>
      <c r="D1" t="s">
        <v>120</v>
      </c>
      <c r="M1" t="s">
        <v>148</v>
      </c>
      <c r="S1" t="s">
        <v>253</v>
      </c>
      <c r="AA1" t="s">
        <v>254</v>
      </c>
      <c r="AB1" t="s">
        <v>255</v>
      </c>
    </row>
    <row r="2" spans="1:28">
      <c r="A2" t="s">
        <v>113</v>
      </c>
    </row>
    <row r="3" spans="1:28">
      <c r="A3" t="s">
        <v>106</v>
      </c>
      <c r="D3" t="s">
        <v>113</v>
      </c>
      <c r="E3" t="s">
        <v>106</v>
      </c>
      <c r="F3" t="s">
        <v>107</v>
      </c>
      <c r="G3" t="s">
        <v>108</v>
      </c>
      <c r="H3" t="s">
        <v>109</v>
      </c>
      <c r="M3" t="s">
        <v>84</v>
      </c>
      <c r="N3" t="s">
        <v>24</v>
      </c>
      <c r="S3" t="s">
        <v>113</v>
      </c>
      <c r="T3" t="s">
        <v>107</v>
      </c>
      <c r="U3" t="s">
        <v>108</v>
      </c>
      <c r="V3" t="s">
        <v>109</v>
      </c>
      <c r="AA3" t="s">
        <v>113</v>
      </c>
      <c r="AB3" t="s">
        <v>108</v>
      </c>
    </row>
    <row r="4" spans="1:28">
      <c r="A4" t="s">
        <v>107</v>
      </c>
      <c r="D4">
        <v>1100000000000</v>
      </c>
      <c r="E4">
        <v>5200000000000</v>
      </c>
      <c r="F4">
        <v>1</v>
      </c>
      <c r="G4">
        <v>311000000000</v>
      </c>
      <c r="H4">
        <v>-1.1000000000000001</v>
      </c>
      <c r="M4" t="s">
        <v>68</v>
      </c>
      <c r="N4" t="s">
        <v>24</v>
      </c>
      <c r="S4">
        <v>2</v>
      </c>
      <c r="T4">
        <v>0</v>
      </c>
      <c r="U4">
        <v>2</v>
      </c>
      <c r="V4">
        <v>0</v>
      </c>
      <c r="AA4">
        <v>1100000000000</v>
      </c>
      <c r="AB4">
        <v>311000000000</v>
      </c>
    </row>
    <row r="5" spans="1:28">
      <c r="A5" t="s">
        <v>108</v>
      </c>
      <c r="D5">
        <v>1200000000000</v>
      </c>
      <c r="E5">
        <v>5300000000000</v>
      </c>
      <c r="F5">
        <v>2</v>
      </c>
      <c r="G5">
        <v>330000000000</v>
      </c>
      <c r="H5">
        <v>-1.2</v>
      </c>
      <c r="M5" t="s">
        <v>70</v>
      </c>
      <c r="N5" t="s">
        <v>24</v>
      </c>
      <c r="S5">
        <v>1100000000000</v>
      </c>
      <c r="U5">
        <v>311000000000</v>
      </c>
      <c r="AA5">
        <v>1200000000000</v>
      </c>
      <c r="AB5">
        <v>311000000000</v>
      </c>
    </row>
    <row r="6" spans="1:28">
      <c r="A6" t="s">
        <v>109</v>
      </c>
      <c r="E6">
        <v>5400000000000</v>
      </c>
      <c r="F6">
        <v>3</v>
      </c>
      <c r="M6" t="s">
        <v>74</v>
      </c>
      <c r="N6" t="s">
        <v>118</v>
      </c>
      <c r="S6">
        <v>1200000000000</v>
      </c>
      <c r="U6">
        <v>330000000000</v>
      </c>
      <c r="AA6">
        <v>1100000000000</v>
      </c>
      <c r="AB6">
        <v>330000000000</v>
      </c>
    </row>
    <row r="7" spans="1:28">
      <c r="M7" t="s">
        <v>85</v>
      </c>
      <c r="N7" t="s">
        <v>119</v>
      </c>
      <c r="AA7">
        <v>1200000000000</v>
      </c>
      <c r="AB7">
        <v>330000000000</v>
      </c>
    </row>
    <row r="9" spans="1:28">
      <c r="A9" t="s">
        <v>149</v>
      </c>
    </row>
    <row r="10" spans="1:28">
      <c r="A10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W26"/>
  <sheetViews>
    <sheetView zoomScale="70" zoomScaleNormal="70" workbookViewId="0">
      <selection activeCell="E1" sqref="E1:P12"/>
    </sheetView>
  </sheetViews>
  <sheetFormatPr defaultRowHeight="18.75"/>
  <sheetData>
    <row r="1" spans="1:19">
      <c r="B1" t="s">
        <v>215</v>
      </c>
      <c r="C1" t="s">
        <v>215</v>
      </c>
      <c r="D1" t="s">
        <v>214</v>
      </c>
      <c r="E1" s="5" t="s">
        <v>27</v>
      </c>
      <c r="F1" t="s">
        <v>218</v>
      </c>
      <c r="G1" t="s">
        <v>217</v>
      </c>
      <c r="H1" t="s">
        <v>216</v>
      </c>
      <c r="I1" t="s">
        <v>256</v>
      </c>
      <c r="L1" t="s">
        <v>257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38" t="s">
        <v>212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219</v>
      </c>
      <c r="M3" t="s">
        <v>215</v>
      </c>
      <c r="N3" t="s">
        <v>215</v>
      </c>
      <c r="O3" t="s">
        <v>214</v>
      </c>
      <c r="P3" t="s">
        <v>220</v>
      </c>
      <c r="Q3" t="s">
        <v>221</v>
      </c>
      <c r="R3" t="s">
        <v>222</v>
      </c>
      <c r="S3" t="s">
        <v>223</v>
      </c>
    </row>
    <row r="4" spans="1:19">
      <c r="A4" s="38" t="s">
        <v>213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224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t="s">
        <v>15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t="s">
        <v>17</v>
      </c>
      <c r="B6" s="1">
        <v>1100000000000</v>
      </c>
      <c r="C6">
        <v>311000000000</v>
      </c>
      <c r="D6" s="26">
        <v>5400000000000</v>
      </c>
      <c r="E6" t="s">
        <v>17</v>
      </c>
      <c r="F6" s="1">
        <v>0.65300000000000002</v>
      </c>
      <c r="G6" s="1">
        <v>2.13</v>
      </c>
      <c r="H6" s="1">
        <v>2.33</v>
      </c>
      <c r="I6" s="1">
        <v>0.39800000000000002</v>
      </c>
      <c r="L6" t="s">
        <v>17</v>
      </c>
      <c r="M6">
        <v>1100000000000</v>
      </c>
      <c r="N6">
        <v>311000000000</v>
      </c>
      <c r="O6">
        <v>5400000000000</v>
      </c>
      <c r="P6">
        <v>0.65300000000000002</v>
      </c>
      <c r="Q6">
        <v>2.13</v>
      </c>
      <c r="R6">
        <v>2.33</v>
      </c>
      <c r="S6">
        <v>0.39800000000000002</v>
      </c>
    </row>
    <row r="7" spans="1:19">
      <c r="A7" t="s">
        <v>20</v>
      </c>
      <c r="B7" s="4">
        <v>1200000000000</v>
      </c>
      <c r="C7" s="23">
        <v>330000000000</v>
      </c>
      <c r="D7" s="26">
        <v>5400000000000</v>
      </c>
      <c r="E7" t="s">
        <v>20</v>
      </c>
      <c r="F7" s="1">
        <v>0.65900000000000003</v>
      </c>
      <c r="G7" s="1">
        <v>1.83</v>
      </c>
      <c r="H7" s="1">
        <v>2.39</v>
      </c>
      <c r="I7" s="1">
        <v>0.395666666666667</v>
      </c>
      <c r="L7" t="s">
        <v>20</v>
      </c>
      <c r="M7">
        <v>1200000000000</v>
      </c>
      <c r="N7">
        <v>330000000000</v>
      </c>
      <c r="O7">
        <v>5400000000000</v>
      </c>
      <c r="P7">
        <v>0.65900000000000003</v>
      </c>
      <c r="Q7">
        <v>1.83</v>
      </c>
      <c r="R7">
        <v>2.39</v>
      </c>
      <c r="S7">
        <v>0.395666666666667</v>
      </c>
    </row>
    <row r="8" spans="1:19">
      <c r="A8" t="s">
        <v>86</v>
      </c>
      <c r="B8" s="4">
        <v>1200000000000</v>
      </c>
      <c r="C8" s="23">
        <v>330000000000</v>
      </c>
      <c r="D8" s="22">
        <v>5500000000000</v>
      </c>
      <c r="E8" t="s">
        <v>86</v>
      </c>
      <c r="F8" s="1">
        <v>0.66100000000000003</v>
      </c>
      <c r="G8" s="1">
        <v>1.73</v>
      </c>
      <c r="H8" s="1">
        <v>2.41</v>
      </c>
      <c r="I8" s="1">
        <v>0.394666666666667</v>
      </c>
      <c r="L8" t="s">
        <v>86</v>
      </c>
      <c r="M8">
        <v>1200000000000</v>
      </c>
      <c r="N8">
        <v>330000000000</v>
      </c>
      <c r="O8">
        <v>5500000000000</v>
      </c>
      <c r="P8">
        <v>0.66100000000000003</v>
      </c>
      <c r="Q8">
        <v>1.73</v>
      </c>
      <c r="R8">
        <v>2.41</v>
      </c>
      <c r="S8">
        <v>0.394666666666667</v>
      </c>
    </row>
    <row r="9" spans="1:19">
      <c r="A9" t="s">
        <v>87</v>
      </c>
      <c r="B9" s="4">
        <v>1300000000000</v>
      </c>
      <c r="C9" s="23">
        <v>330000000000</v>
      </c>
      <c r="D9" s="1">
        <v>5200000000000</v>
      </c>
      <c r="E9" t="s">
        <v>87</v>
      </c>
      <c r="F9" s="1">
        <v>0.66300000000000003</v>
      </c>
      <c r="G9" s="1">
        <v>1.63</v>
      </c>
      <c r="H9" s="1">
        <v>2.4300000000000002</v>
      </c>
      <c r="I9" s="1">
        <v>0.393666666666667</v>
      </c>
      <c r="L9" t="s">
        <v>87</v>
      </c>
      <c r="M9">
        <v>1300000000000</v>
      </c>
      <c r="N9">
        <v>330000000000</v>
      </c>
      <c r="O9">
        <v>5200000000000</v>
      </c>
      <c r="P9">
        <v>0.66300000000000003</v>
      </c>
      <c r="Q9">
        <v>1.63</v>
      </c>
      <c r="R9">
        <v>2.4300000000000002</v>
      </c>
      <c r="S9">
        <v>0.393666666666667</v>
      </c>
    </row>
    <row r="10" spans="1:19">
      <c r="A10" t="s">
        <v>93</v>
      </c>
      <c r="B10" s="4">
        <v>1300000000000</v>
      </c>
      <c r="C10" s="23">
        <v>330000000000</v>
      </c>
      <c r="D10" s="21">
        <v>5300000000000</v>
      </c>
      <c r="E10" t="s">
        <v>93</v>
      </c>
      <c r="F10" s="1">
        <v>0.66500000000000004</v>
      </c>
      <c r="G10" s="1">
        <v>1.53</v>
      </c>
      <c r="H10" s="1">
        <v>2.4500000000000002</v>
      </c>
      <c r="I10" s="1">
        <v>0.392666666666667</v>
      </c>
      <c r="L10" t="s">
        <v>93</v>
      </c>
      <c r="M10">
        <v>1300000000000</v>
      </c>
      <c r="N10">
        <v>330000000000</v>
      </c>
      <c r="O10">
        <v>5300000000000</v>
      </c>
      <c r="P10">
        <v>0.66500000000000004</v>
      </c>
      <c r="Q10">
        <v>1.53</v>
      </c>
      <c r="R10">
        <v>2.4500000000000002</v>
      </c>
      <c r="S10">
        <v>0.392666666666667</v>
      </c>
    </row>
    <row r="11" spans="1:19">
      <c r="A11" t="s">
        <v>94</v>
      </c>
      <c r="B11" s="4">
        <v>1300000000000</v>
      </c>
      <c r="C11" s="23">
        <v>330000000000</v>
      </c>
      <c r="D11" s="26">
        <v>5400000000000</v>
      </c>
      <c r="E11" t="s">
        <v>94</v>
      </c>
      <c r="F11" s="1">
        <v>0.66700000000000004</v>
      </c>
      <c r="G11" s="1">
        <v>1.43</v>
      </c>
      <c r="H11" s="1">
        <v>2.4700000000000002</v>
      </c>
      <c r="I11" s="1">
        <v>0.391666666666667</v>
      </c>
      <c r="L11" t="s">
        <v>94</v>
      </c>
      <c r="M11">
        <v>1300000000000</v>
      </c>
      <c r="N11">
        <v>330000000000</v>
      </c>
      <c r="O11">
        <v>5400000000000</v>
      </c>
      <c r="P11">
        <v>0.66700000000000004</v>
      </c>
      <c r="Q11">
        <v>1.43</v>
      </c>
      <c r="R11">
        <v>2.4700000000000002</v>
      </c>
      <c r="S11">
        <v>0.391666666666667</v>
      </c>
    </row>
    <row r="12" spans="1:19">
      <c r="A12" t="s">
        <v>96</v>
      </c>
      <c r="B12" s="4">
        <v>1300000000000</v>
      </c>
      <c r="C12" s="23">
        <v>330000000000</v>
      </c>
      <c r="D12" s="21">
        <v>5300000000000</v>
      </c>
      <c r="E12" t="s">
        <v>96</v>
      </c>
      <c r="F12" s="1">
        <v>0.67100000000000004</v>
      </c>
      <c r="G12" s="1">
        <v>1.23</v>
      </c>
      <c r="H12" s="1">
        <v>2.5099999999999998</v>
      </c>
      <c r="I12" s="1">
        <v>0.38966666666666699</v>
      </c>
      <c r="L12" t="s">
        <v>96</v>
      </c>
      <c r="M12">
        <v>1300000000000</v>
      </c>
      <c r="N12">
        <v>330000000000</v>
      </c>
      <c r="O12">
        <v>5300000000000</v>
      </c>
      <c r="P12">
        <v>0.67100000000000004</v>
      </c>
      <c r="Q12">
        <v>1.23</v>
      </c>
      <c r="R12">
        <v>2.5099999999999998</v>
      </c>
      <c r="S12">
        <v>0.38966666666666699</v>
      </c>
    </row>
    <row r="17" spans="12:23">
      <c r="L17" t="s">
        <v>219</v>
      </c>
      <c r="M17" t="s">
        <v>215</v>
      </c>
      <c r="N17" t="s">
        <v>215</v>
      </c>
      <c r="O17" t="s">
        <v>214</v>
      </c>
      <c r="P17" t="s">
        <v>220</v>
      </c>
      <c r="Q17" t="s">
        <v>221</v>
      </c>
      <c r="R17" t="s">
        <v>222</v>
      </c>
      <c r="S17" t="s">
        <v>223</v>
      </c>
      <c r="T17" t="s">
        <v>225</v>
      </c>
      <c r="U17" t="s">
        <v>225</v>
      </c>
      <c r="V17" t="s">
        <v>225</v>
      </c>
      <c r="W17" t="s">
        <v>225</v>
      </c>
    </row>
    <row r="18" spans="12:23">
      <c r="L18" t="s">
        <v>224</v>
      </c>
      <c r="M18" t="s">
        <v>113</v>
      </c>
      <c r="N18" t="s">
        <v>108</v>
      </c>
      <c r="O18" t="s">
        <v>106</v>
      </c>
      <c r="P18" t="s">
        <v>68</v>
      </c>
      <c r="Q18" t="s">
        <v>74</v>
      </c>
      <c r="R18" t="s">
        <v>84</v>
      </c>
      <c r="S18" t="s">
        <v>85</v>
      </c>
      <c r="T18" t="s">
        <v>231</v>
      </c>
      <c r="U18" t="s">
        <v>232</v>
      </c>
      <c r="V18" t="s">
        <v>233</v>
      </c>
      <c r="W18" t="s">
        <v>234</v>
      </c>
    </row>
    <row r="19" spans="12:23">
      <c r="L19" t="s">
        <v>15</v>
      </c>
      <c r="M19">
        <v>1100000000000</v>
      </c>
      <c r="N19">
        <v>311000000000</v>
      </c>
      <c r="O19">
        <v>5200000000000</v>
      </c>
      <c r="P19">
        <v>0.64900000000000002</v>
      </c>
      <c r="Q19">
        <v>2.33</v>
      </c>
      <c r="R19">
        <v>2.29</v>
      </c>
      <c r="S19">
        <v>0.4</v>
      </c>
      <c r="T19">
        <v>1</v>
      </c>
      <c r="U19">
        <v>0</v>
      </c>
      <c r="V19">
        <v>0</v>
      </c>
      <c r="W19">
        <v>0</v>
      </c>
    </row>
    <row r="20" spans="12:23">
      <c r="L20" t="s">
        <v>17</v>
      </c>
      <c r="M20">
        <v>1100000000000</v>
      </c>
      <c r="N20">
        <v>311000000000</v>
      </c>
      <c r="O20">
        <v>5400000000000</v>
      </c>
      <c r="P20">
        <v>0.65300000000000002</v>
      </c>
      <c r="Q20">
        <v>2.13</v>
      </c>
      <c r="R20">
        <v>2.33</v>
      </c>
      <c r="S20">
        <v>0.39800000000000002</v>
      </c>
      <c r="T20">
        <v>1</v>
      </c>
      <c r="U20">
        <v>0</v>
      </c>
      <c r="V20">
        <v>0</v>
      </c>
      <c r="W20">
        <v>0</v>
      </c>
    </row>
    <row r="21" spans="12:23">
      <c r="L21" t="s">
        <v>20</v>
      </c>
      <c r="M21">
        <v>1200000000000</v>
      </c>
      <c r="N21">
        <v>330000000000</v>
      </c>
      <c r="O21">
        <v>5400000000000</v>
      </c>
      <c r="P21">
        <v>0.65900000000000003</v>
      </c>
      <c r="Q21">
        <v>1.83</v>
      </c>
      <c r="R21">
        <v>2.39</v>
      </c>
      <c r="S21">
        <v>0.395666666666667</v>
      </c>
      <c r="T21">
        <v>0</v>
      </c>
      <c r="U21">
        <v>0</v>
      </c>
      <c r="V21">
        <v>0</v>
      </c>
      <c r="W21">
        <v>1</v>
      </c>
    </row>
    <row r="22" spans="12:23">
      <c r="L22" t="s">
        <v>86</v>
      </c>
      <c r="M22">
        <v>1200000000000</v>
      </c>
      <c r="N22">
        <v>330000000000</v>
      </c>
      <c r="O22">
        <v>5500000000000</v>
      </c>
      <c r="P22">
        <v>0.66100000000000003</v>
      </c>
      <c r="Q22">
        <v>1.73</v>
      </c>
      <c r="R22">
        <v>2.41</v>
      </c>
      <c r="S22">
        <v>0.394666666666667</v>
      </c>
      <c r="T22">
        <v>0</v>
      </c>
      <c r="U22">
        <v>0</v>
      </c>
      <c r="V22">
        <v>0</v>
      </c>
      <c r="W22">
        <v>1</v>
      </c>
    </row>
    <row r="23" spans="12:23">
      <c r="L23" t="s">
        <v>87</v>
      </c>
      <c r="M23">
        <v>1300000000000</v>
      </c>
      <c r="N23">
        <v>330000000000</v>
      </c>
      <c r="O23">
        <v>5200000000000</v>
      </c>
      <c r="P23">
        <v>0.66300000000000003</v>
      </c>
      <c r="Q23">
        <v>1.63</v>
      </c>
      <c r="R23">
        <v>2.4300000000000002</v>
      </c>
      <c r="S23">
        <v>0.393666666666667</v>
      </c>
      <c r="T23">
        <v>0</v>
      </c>
      <c r="U23">
        <v>0</v>
      </c>
      <c r="V23">
        <v>0</v>
      </c>
      <c r="W23">
        <v>0</v>
      </c>
    </row>
    <row r="24" spans="12:23">
      <c r="L24" t="s">
        <v>93</v>
      </c>
      <c r="M24">
        <v>1300000000000</v>
      </c>
      <c r="N24">
        <v>330000000000</v>
      </c>
      <c r="O24">
        <v>5300000000000</v>
      </c>
      <c r="P24">
        <v>0.66500000000000004</v>
      </c>
      <c r="Q24">
        <v>1.53</v>
      </c>
      <c r="R24">
        <v>2.4500000000000002</v>
      </c>
      <c r="S24">
        <v>0.392666666666667</v>
      </c>
      <c r="T24">
        <v>0</v>
      </c>
      <c r="U24">
        <v>0</v>
      </c>
      <c r="V24">
        <v>0</v>
      </c>
      <c r="W24">
        <v>0</v>
      </c>
    </row>
    <row r="25" spans="12:23">
      <c r="L25" t="s">
        <v>94</v>
      </c>
      <c r="M25">
        <v>1300000000000</v>
      </c>
      <c r="N25">
        <v>330000000000</v>
      </c>
      <c r="O25">
        <v>5400000000000</v>
      </c>
      <c r="P25">
        <v>0.66700000000000004</v>
      </c>
      <c r="Q25">
        <v>1.43</v>
      </c>
      <c r="R25">
        <v>2.4700000000000002</v>
      </c>
      <c r="S25">
        <v>0.391666666666667</v>
      </c>
      <c r="T25">
        <v>0</v>
      </c>
      <c r="U25">
        <v>0</v>
      </c>
      <c r="V25">
        <v>0</v>
      </c>
      <c r="W25">
        <v>0</v>
      </c>
    </row>
    <row r="26" spans="12:23">
      <c r="L26" t="s">
        <v>96</v>
      </c>
      <c r="M26">
        <v>1300000000000</v>
      </c>
      <c r="N26">
        <v>330000000000</v>
      </c>
      <c r="O26">
        <v>5300000000000</v>
      </c>
      <c r="P26">
        <v>0.67100000000000004</v>
      </c>
      <c r="Q26">
        <v>1.23</v>
      </c>
      <c r="R26">
        <v>2.5099999999999998</v>
      </c>
      <c r="S26">
        <v>0.38966666666666699</v>
      </c>
      <c r="T26">
        <v>0</v>
      </c>
      <c r="U26">
        <v>0</v>
      </c>
      <c r="V26">
        <v>0</v>
      </c>
      <c r="W26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71BFF-18D8-46E3-850A-7F31A78F47BB}">
  <sheetPr codeName="Sheet5"/>
  <dimension ref="B1:J9"/>
  <sheetViews>
    <sheetView workbookViewId="0">
      <selection activeCell="B3" sqref="B3"/>
    </sheetView>
  </sheetViews>
  <sheetFormatPr defaultRowHeight="18.75"/>
  <cols>
    <col min="2" max="2" width="11.875" customWidth="1"/>
  </cols>
  <sheetData>
    <row r="1" spans="2:10">
      <c r="B1" t="s">
        <v>138</v>
      </c>
    </row>
    <row r="2" spans="2:10">
      <c r="C2" t="s">
        <v>128</v>
      </c>
      <c r="D2" t="s">
        <v>128</v>
      </c>
      <c r="E2" t="s">
        <v>128</v>
      </c>
      <c r="F2" t="s">
        <v>129</v>
      </c>
      <c r="G2" t="s">
        <v>128</v>
      </c>
      <c r="H2" t="s">
        <v>129</v>
      </c>
      <c r="I2" t="s">
        <v>128</v>
      </c>
      <c r="J2" t="s">
        <v>128</v>
      </c>
    </row>
    <row r="3" spans="2:10">
      <c r="B3" s="2" t="s">
        <v>12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</row>
    <row r="4" spans="2:10">
      <c r="B4" s="2" t="s">
        <v>139</v>
      </c>
      <c r="C4" s="1">
        <v>1100000000000</v>
      </c>
      <c r="D4" s="1">
        <v>200000000000</v>
      </c>
      <c r="E4" s="2">
        <v>1</v>
      </c>
      <c r="F4" s="1">
        <v>5200000000000</v>
      </c>
      <c r="G4" s="2">
        <v>1</v>
      </c>
      <c r="H4">
        <f>311000000000</f>
        <v>311000000000</v>
      </c>
      <c r="I4" s="2">
        <v>-1.1000000000000001</v>
      </c>
      <c r="J4" s="2">
        <v>2</v>
      </c>
    </row>
    <row r="5" spans="2:10">
      <c r="B5" s="2" t="s">
        <v>140</v>
      </c>
      <c r="C5" s="1">
        <v>1100000000000</v>
      </c>
      <c r="D5" s="1">
        <v>200000000000</v>
      </c>
      <c r="E5" s="2">
        <v>1</v>
      </c>
      <c r="F5" s="21">
        <v>5300000000000</v>
      </c>
      <c r="G5" s="18">
        <v>2</v>
      </c>
      <c r="H5">
        <f>311000000000</f>
        <v>311000000000</v>
      </c>
      <c r="I5" s="2">
        <v>-1.1000000000000001</v>
      </c>
      <c r="J5" s="2">
        <v>2</v>
      </c>
    </row>
    <row r="6" spans="2:10">
      <c r="B6" s="2" t="s">
        <v>141</v>
      </c>
      <c r="C6" s="1">
        <v>1100000000000</v>
      </c>
      <c r="D6" s="1">
        <v>200000000000</v>
      </c>
      <c r="E6" s="2">
        <v>1</v>
      </c>
      <c r="F6" s="26">
        <v>5400000000000</v>
      </c>
      <c r="G6">
        <v>3</v>
      </c>
      <c r="H6">
        <f>311000000000</f>
        <v>311000000000</v>
      </c>
      <c r="I6" s="17">
        <v>-1.2</v>
      </c>
      <c r="J6" s="2">
        <v>2</v>
      </c>
    </row>
    <row r="7" spans="2:10">
      <c r="B7" s="2" t="s">
        <v>142</v>
      </c>
      <c r="C7" s="4">
        <v>1200000000000</v>
      </c>
      <c r="D7" s="1">
        <v>200000000000</v>
      </c>
      <c r="E7" s="2">
        <v>1</v>
      </c>
      <c r="F7" s="1">
        <v>5200000000000</v>
      </c>
      <c r="G7" s="2">
        <v>1</v>
      </c>
      <c r="H7" s="23">
        <v>330000000000</v>
      </c>
      <c r="I7" s="17">
        <v>-1.2</v>
      </c>
      <c r="J7" s="2">
        <v>2</v>
      </c>
    </row>
    <row r="8" spans="2:10">
      <c r="B8" s="2" t="s">
        <v>143</v>
      </c>
      <c r="C8" s="4">
        <v>1200000000000</v>
      </c>
      <c r="D8" s="1">
        <v>200000000000</v>
      </c>
      <c r="E8" s="2">
        <v>1</v>
      </c>
      <c r="F8" s="21">
        <v>5300000000000</v>
      </c>
      <c r="G8" s="18">
        <v>2</v>
      </c>
      <c r="H8" s="23">
        <v>330000000000</v>
      </c>
      <c r="I8" s="17">
        <v>-1.2</v>
      </c>
      <c r="J8" s="2">
        <v>2</v>
      </c>
    </row>
    <row r="9" spans="2:10">
      <c r="B9" s="2" t="s">
        <v>144</v>
      </c>
      <c r="C9" s="4">
        <v>1200000000000</v>
      </c>
      <c r="D9" s="1">
        <v>200000000000</v>
      </c>
      <c r="E9" s="2">
        <v>1</v>
      </c>
      <c r="F9" s="26">
        <v>5400000000000</v>
      </c>
      <c r="G9" s="19">
        <v>3</v>
      </c>
      <c r="H9" s="23">
        <v>330000000000</v>
      </c>
      <c r="I9" s="17">
        <v>-1.2</v>
      </c>
      <c r="J9" s="2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166</v>
      </c>
      <c r="V1" t="s">
        <v>204</v>
      </c>
      <c r="W1" t="s">
        <v>197</v>
      </c>
      <c r="X1" t="s">
        <v>198</v>
      </c>
    </row>
    <row r="2" spans="1:26">
      <c r="A2" s="2" t="s">
        <v>139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194</v>
      </c>
      <c r="T2" t="s">
        <v>195</v>
      </c>
    </row>
    <row r="3" spans="1:26">
      <c r="A3" s="2" t="s">
        <v>140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141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201</v>
      </c>
    </row>
    <row r="5" spans="1:26">
      <c r="A5" s="2" t="s">
        <v>142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202</v>
      </c>
    </row>
    <row r="6" spans="1:26">
      <c r="A6" s="2" t="s">
        <v>143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203</v>
      </c>
    </row>
    <row r="7" spans="1:26">
      <c r="A7" s="2" t="s">
        <v>144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191</v>
      </c>
      <c r="T27" t="s">
        <v>199</v>
      </c>
    </row>
    <row r="28" spans="5:20">
      <c r="L28" t="s">
        <v>192</v>
      </c>
      <c r="T28" t="s">
        <v>206</v>
      </c>
    </row>
    <row r="29" spans="5:20">
      <c r="L29" t="s">
        <v>196</v>
      </c>
    </row>
    <row r="30" spans="5:20">
      <c r="L30" t="s">
        <v>193</v>
      </c>
    </row>
    <row r="31" spans="5:20">
      <c r="L31" t="s">
        <v>200</v>
      </c>
    </row>
    <row r="32" spans="5:20">
      <c r="L32" t="s">
        <v>205</v>
      </c>
    </row>
    <row r="34" spans="5:16">
      <c r="E34" t="s">
        <v>207</v>
      </c>
      <c r="K34" s="32"/>
      <c r="L34" s="32"/>
      <c r="M34" s="32"/>
      <c r="N34" s="32"/>
      <c r="O34" s="32"/>
      <c r="P34" s="32"/>
    </row>
    <row r="35" spans="5:16">
      <c r="E35" t="s">
        <v>208</v>
      </c>
      <c r="K35" s="33"/>
      <c r="L35" s="33"/>
      <c r="M35" s="33"/>
      <c r="N35" s="33"/>
      <c r="O35" s="33"/>
      <c r="P35" s="33"/>
    </row>
    <row r="36" spans="5:16">
      <c r="E36" t="s">
        <v>209</v>
      </c>
      <c r="K36" s="36"/>
      <c r="L36" s="36"/>
      <c r="M36" s="36"/>
      <c r="N36" s="36"/>
      <c r="O36" s="36"/>
      <c r="P36" s="36"/>
    </row>
    <row r="37" spans="5:16">
      <c r="E37" t="s">
        <v>210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181</v>
      </c>
    </row>
    <row r="2" spans="1:18">
      <c r="A2" s="34" t="s">
        <v>182</v>
      </c>
    </row>
    <row r="3" spans="1:18">
      <c r="A3" s="34" t="s">
        <v>190</v>
      </c>
    </row>
    <row r="6" spans="1:18">
      <c r="A6" s="33" t="s">
        <v>167</v>
      </c>
      <c r="B6" s="33" t="s">
        <v>168</v>
      </c>
      <c r="C6" s="33" t="s">
        <v>169</v>
      </c>
      <c r="D6" s="33" t="s">
        <v>170</v>
      </c>
      <c r="E6" s="33" t="s">
        <v>171</v>
      </c>
      <c r="F6" s="33" t="s">
        <v>172</v>
      </c>
      <c r="G6" s="33" t="s">
        <v>173</v>
      </c>
      <c r="H6" s="33" t="s">
        <v>174</v>
      </c>
      <c r="I6" s="33" t="s">
        <v>175</v>
      </c>
      <c r="J6" s="33" t="s">
        <v>176</v>
      </c>
      <c r="K6" s="33" t="s">
        <v>177</v>
      </c>
      <c r="L6" s="33" t="s">
        <v>178</v>
      </c>
      <c r="M6" s="33" t="s">
        <v>179</v>
      </c>
      <c r="R6" s="34" t="s">
        <v>186</v>
      </c>
    </row>
    <row r="7" spans="1:18" ht="18.75">
      <c r="A7" s="35" t="s">
        <v>180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185</v>
      </c>
      <c r="R7" s="34" t="s">
        <v>188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183</v>
      </c>
      <c r="R8" s="34" t="s">
        <v>187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184</v>
      </c>
      <c r="R9" s="34" t="s">
        <v>189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167</v>
      </c>
      <c r="B1" s="33" t="s">
        <v>168</v>
      </c>
      <c r="C1" s="33" t="s">
        <v>169</v>
      </c>
      <c r="D1" s="33" t="s">
        <v>170</v>
      </c>
      <c r="E1" s="33" t="s">
        <v>171</v>
      </c>
      <c r="F1" s="33" t="s">
        <v>172</v>
      </c>
      <c r="G1" s="33" t="s">
        <v>173</v>
      </c>
      <c r="H1" s="33" t="s">
        <v>174</v>
      </c>
      <c r="I1" s="33" t="s">
        <v>175</v>
      </c>
      <c r="J1" s="33" t="s">
        <v>176</v>
      </c>
      <c r="K1" s="33" t="s">
        <v>177</v>
      </c>
      <c r="L1" s="33" t="s">
        <v>178</v>
      </c>
      <c r="M1" s="33" t="s">
        <v>179</v>
      </c>
    </row>
    <row r="2" spans="1:13" ht="18.75">
      <c r="A2" s="35" t="s">
        <v>180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work_summary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work_graph</vt:lpstr>
      <vt:lpstr>work_scatter1</vt:lpstr>
      <vt:lpstr>src_jyoken</vt:lpstr>
      <vt:lpstr>例_グラフ背景塗りつぶし</vt:lpstr>
      <vt:lpstr>例_グラフ背景塗りつぶし_y範囲</vt:lpstr>
      <vt:lpstr>例_グラフ背景塗りつぶし_x範囲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2021-08-30T04:51:32Z</dcterms:modified>
</cp:coreProperties>
</file>