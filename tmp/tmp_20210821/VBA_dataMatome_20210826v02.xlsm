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EFE95F6A-0BC5-46D1-85C2-50CEF0303010}" xr6:coauthVersionLast="47" xr6:coauthVersionMax="47" xr10:uidLastSave="{00000000-0000-0000-0000-000000000000}"/>
  <bookViews>
    <workbookView xWindow="-120" yWindow="-120" windowWidth="24240" windowHeight="13140" firstSheet="8" activeTab="13" xr2:uid="{00000000-000D-0000-FFFF-FFFF00000000}"/>
  </bookViews>
  <sheets>
    <sheet name="グラフ作成" sheetId="6" r:id="rId1"/>
    <sheet name="設定ファイル" sheetId="41" r:id="rId2"/>
    <sheet name="条件表" sheetId="3" r:id="rId3"/>
    <sheet name="DataTable" sheetId="39" r:id="rId4"/>
    <sheet name="DataTable_bck" sheetId="23" r:id="rId5"/>
    <sheet name="サマリ" sheetId="16" r:id="rId6"/>
    <sheet name="BCK_サマリ" sheetId="43" r:id="rId7"/>
    <sheet name="散布図" sheetId="8" r:id="rId8"/>
    <sheet name="BCK_散布図" sheetId="44" r:id="rId9"/>
    <sheet name="例_散布図" sheetId="4" r:id="rId10"/>
    <sheet name="work_template" sheetId="42" r:id="rId11"/>
    <sheet name="work_jyoken" sheetId="12" r:id="rId12"/>
    <sheet name="work_graph" sheetId="7" r:id="rId13"/>
    <sheet name="work_scatter1" sheetId="13" r:id="rId14"/>
    <sheet name="src_jyoken" sheetId="40" r:id="rId15"/>
  </sheets>
  <functionGroups builtInGroupCount="19"/>
  <definedNames>
    <definedName name="_xlnm._FilterDatabase" localSheetId="8" hidden="1">BCK_散布図!#REF!</definedName>
    <definedName name="_xlnm._FilterDatabase" localSheetId="3" hidden="1">DataTable!$F$1:$Q$16</definedName>
    <definedName name="_xlnm._FilterDatabase" localSheetId="4" hidden="1">DataTable_bck!$F$1:$Q$16</definedName>
    <definedName name="_xlnm._FilterDatabase" localSheetId="13" hidden="1">work_scatter1!#REF!</definedName>
    <definedName name="_xlnm._FilterDatabase" localSheetId="7" hidden="1">散布図!#REF!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7" i="40" l="1"/>
  <c r="K46" i="40"/>
  <c r="K45" i="40"/>
  <c r="K35" i="40"/>
  <c r="K34" i="40"/>
  <c r="K33" i="40"/>
  <c r="K32" i="40"/>
  <c r="K31" i="40"/>
  <c r="K30" i="40"/>
  <c r="K13" i="40"/>
  <c r="K12" i="40"/>
  <c r="K11" i="40"/>
  <c r="D7" i="39"/>
  <c r="D6" i="39"/>
  <c r="D5" i="39"/>
  <c r="D7" i="23"/>
  <c r="D6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A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D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K12" authorId="0" shapeId="0" xr:uid="{CC6CCC56-EB45-45B5-AAF4-2B88221C5DEF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1F4DEF5B-7393-4840-A7DB-AE8D2E608EE3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<sst xmlns="http://schemas.openxmlformats.org/spreadsheetml/2006/main" count="952" uniqueCount="221">
  <si>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</si>
  <si>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</si>
  <si>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</si>
  <si>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</si>
  <si>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</si>
  <si>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</si>
  <si>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</si>
  <si>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</si>
  <si>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</si>
  <si>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</si>
  <si>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</si>
  <si>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</si>
  <si>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</si>
  <si>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</si>
  <si>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</si>
  <si>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</si>
  <si>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</si>
  <si>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</si>
  <si>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</si>
  <si>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</si>
  <si>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</si>
  <si>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</si>
  <si>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</si>
  <si>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</si>
  <si>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</si>
  <si>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</si>
  <si>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</si>
  <si>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</si>
  <si>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</si>
  <si>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</si>
  <si>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</si>
  <si>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</si>
  <si>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</si>
  <si>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</si>
  <si>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</si>
  <si>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</si>
  <si>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</si>
  <si>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</si>
  <si>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</si>
  <si>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</si>
  <si>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</si>
  <si>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</si>
  <si>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</si>
  <si>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</si>
  <si>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</si>
  <si>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</si>
  <si>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</si>
  <si>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</si>
  <si>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</si>
  <si>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</si>
  <si>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</si>
  <si>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</si>
  <si>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</si>
  <si>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</si>
  <si>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</si>
  <si>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</si>
  <si>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</si>
  <si>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</si>
  <si>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</si>
  <si>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</si>
  <si>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</si>
  <si>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</si>
  <si>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</si>
  <si>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</si>
  <si>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</si>
  <si>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</si>
  <si>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</si>
  <si>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</si>
  <si>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</si>
  <si>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</si>
  <si>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</si>
  <si>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</si>
  <si>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</si>
  <si>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</si>
  <si>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</si>
  <si>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</si>
  <si>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</si>
  <si>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</si>
  <si>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</si>
  <si>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</si>
  <si>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</si>
  <si>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</si>
  <si>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</si>
  <si>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</si>
  <si>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</si>
  <si>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</si>
  <si>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</si>
  <si>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</si>
  <si>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</si>
  <si>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</si>
  <si>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</si>
  <si>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</si>
  <si>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</si>
  <si>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</si>
  <si>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</si>
  <si>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</si>
  <si>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</si>
  <si>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</si>
  <si>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</si>
  <si>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</si>
  <si>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</si>
  <si>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</si>
  <si>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</si>
  <si>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</si>
  <si>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</si>
  <si>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</si>
  <si>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</si>
  <si>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</si>
  <si>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</si>
  <si>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</si>
  <si>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</si>
  <si>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</si>
  <si>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</si>
  <si>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imp01</t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</si>
  <si>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</si>
  <si>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</si>
  <si>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</si>
  <si>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</si>
  <si>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</si>
  <si>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</si>
  <si>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</si>
  <si>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</si>
  <si>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Field</t>
  </si>
  <si>
    <t>Unit</t>
  </si>
  <si>
    <t>group</t>
  </si>
  <si>
    <t>x</t>
  </si>
  <si>
    <t>jyoken</t>
  </si>
  <si>
    <t>NAME</t>
  </si>
  <si>
    <t>filter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</si>
  <si>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</si>
  <si>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</si>
  <si>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</si>
  <si>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</si>
  <si>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</si>
  <si>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</si>
  <si>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</si>
  <si>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</si>
  <si>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</si>
  <si>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</si>
  <si>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</si>
  <si>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</si>
  <si>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</si>
  <si>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</si>
  <si>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</si>
  <si>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</si>
  <si>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</si>
  <si>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</si>
  <si>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e12</t>
    <phoneticPr fontId="1"/>
  </si>
  <si>
    <t>e11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</si>
  <si>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</si>
  <si>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</si>
  <si>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</si>
  <si>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</si>
  <si>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</si>
  <si>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</si>
  <si>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</si>
  <si>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</si>
  <si>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</si>
  <si>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</si>
  <si>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</si>
  <si>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</si>
  <si>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</si>
  <si>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</si>
  <si>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</si>
  <si>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</si>
  <si>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</si>
  <si>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</si>
  <si>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</si>
  <si>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</si>
  <si>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</si>
  <si>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</si>
  <si>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</si>
  <si>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</si>
  <si>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C:\kuroda\work\00_TCAD\20210701_PDsim\第1要望_自動グラフ作成_Excelマクロ\デバッグ用_マクロインプットデータ\マクロインプットデータ_条件表.xlsx</t>
    <phoneticPr fontId="1"/>
  </si>
  <si>
    <t>指定範囲 $E$10:$A$22</t>
    <phoneticPr fontId="1"/>
  </si>
  <si>
    <t>条件表2 重複あり</t>
    <rPh sb="0" eb="2">
      <t>ジョウケン</t>
    </rPh>
    <rPh sb="2" eb="3">
      <t>ヒョウ</t>
    </rPh>
    <rPh sb="5" eb="7">
      <t>ジュウフク</t>
    </rPh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</si>
  <si>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</si>
  <si>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</si>
  <si>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</si>
  <si>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</si>
  <si>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</si>
  <si>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</si>
  <si>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</si>
  <si>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グラフ作成_散布図_Y軸_ユーザー選択</t>
  </si>
  <si>
    <t>グラフ作成_散布図_グルーピング_ユーザー選択された項目</t>
  </si>
  <si>
    <t>グラフ作成_散布図_X軸コンボボックス_ユーザー選択</t>
    <phoneticPr fontId="1"/>
  </si>
  <si>
    <t>グラフ作成_散布図_グルーピング_組み合わせ</t>
  </si>
  <si>
    <t>配列 g_gui_scatterG_ary = gui_grpfilter_ary</t>
  </si>
  <si>
    <t>CWL1_dose =1.10E+12,matC_dose =5.20E+12,</t>
  </si>
  <si>
    <t>CWL1_dose =1.20E+12,matC_dose =5.20E+12,</t>
  </si>
  <si>
    <t>CWL1_dose =1.30E+12,matC_dose =5.20E+12,</t>
  </si>
  <si>
    <t>CWL1_dose =1.10E+12,matC_dose =5.30E+12,</t>
  </si>
  <si>
    <t>CWL1_dose =1.20E+12,matC_dose =5.30E+12,</t>
  </si>
  <si>
    <t>CWL1_dose =1.30E+12,matC_dose =5.30E+12,</t>
  </si>
  <si>
    <t>CWL1_dose =1.10E+12,matC_dose =5.40E+12,</t>
  </si>
  <si>
    <t>CWL1_dose =1.20E+12,matC_dose =5.40E+12,</t>
  </si>
  <si>
    <t>CWL1_dose =1.30E+12,matC_dose =5.40E+12,</t>
  </si>
  <si>
    <t>01_TGoff_Extract7</t>
    <phoneticPr fontId="1"/>
  </si>
  <si>
    <t>01_TGon_Extract4</t>
    <phoneticPr fontId="1"/>
  </si>
  <si>
    <t>01_TGoff_Extract1</t>
    <phoneticPr fontId="1"/>
  </si>
  <si>
    <t>y_01_TGoff_Extract1</t>
  </si>
  <si>
    <t>y_01_TGon_Extract4</t>
  </si>
  <si>
    <t>y_01_TGoff_Extract7</t>
  </si>
  <si>
    <t>y_03_Qs_Extract2</t>
  </si>
  <si>
    <t>Y軸=toku1 :01_TGoff_Extract1</t>
  </si>
  <si>
    <t>Y軸=tokuA :01_TGon_Extract4</t>
  </si>
  <si>
    <t>Y軸=SRpot :01_TGoff_Extract7</t>
  </si>
  <si>
    <t>Y軸=Qs02 :03_Qs_Extract2</t>
  </si>
  <si>
    <t>Y軸=CWL1_dose =1.10E+12,matC_dose =5.20E+12, :lter</t>
  </si>
  <si>
    <t>Y軸=CWL1_dose =1.20E+12,matC_dose =5.20E+12, :lter</t>
  </si>
  <si>
    <t>Y軸=CWL1_dose =1.30E+12,matC_dose =5.20E+12, :lter</t>
  </si>
  <si>
    <t>Y軸=CWL1_dose =1.10E+12,matC_dose =5.30E+12, :lter</t>
  </si>
  <si>
    <t>Y軸=CWL1_dose =1.20E+12,matC_dose =5.30E+12, :lter</t>
  </si>
  <si>
    <t>Y軸=CWL1_dose =1.30E+12,matC_dose =5.30E+12, :lter</t>
  </si>
  <si>
    <t>Y軸=CWL1_dose =1.10E+12,matC_dose =5.40E+12, :lter</t>
  </si>
  <si>
    <t>Y軸=CWL1_dose =1.20E+12,matC_dose =5.40E+12, :lter</t>
  </si>
  <si>
    <t>Y軸=CWL1_dose =1.30E+12,matC_dose =5.40E+12, :lter</t>
  </si>
  <si>
    <t>03_Qs_Extract2</t>
    <phoneticPr fontId="1"/>
  </si>
  <si>
    <t>■[DEBUG] data_ary内容</t>
    <phoneticPr fontId="1"/>
  </si>
  <si>
    <t>imp11</t>
    <phoneticPr fontId="1"/>
  </si>
  <si>
    <t>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</si>
</sst>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Border="1"/>
    <xf numFmtId="0" fontId="0" fillId="19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サマリ!$B$1</c:f>
          <c:strCache>
            <c:ptCount val="1"/>
            <c:pt idx="0">
              <c:v>toku1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D3-4DFC-B854-8BFADB0F6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8-4414-A3E3-66C789C27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B0-4F6A-B739-3369B02A4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4-44EF-A688-E2E4EB97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=1.10E+12,matC_dose =5.20E+12,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E-422F-BEF5-10DC23B245A9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=1.20E+12,matC_dose =5.20E+12,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  <c:pt idx="1">
                  <c:v>0.65500000000000003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0E-422F-BEF5-10DC23B245A9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=1.30E+12,matC_dose =5.20E+12,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  <c:pt idx="2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0E-422F-BEF5-10DC23B245A9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=1.10E+12,matC_dose =5.30E+12,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  <c:pt idx="0">
                  <c:v>0.65100000000000002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0E-422F-BEF5-10DC23B245A9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=1.20E+12,matC_dose =5.30E+12,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1">
                  <c:v>0.65700000000000003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0E-422F-BEF5-10DC23B245A9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=1.30E+12,matC_dose =5.30E+12,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2">
                  <c:v>0.66500000000000004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0E-422F-BEF5-10DC23B245A9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=1.10E+12,matC_dose =5.40E+12,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  <c:pt idx="1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0E-422F-BEF5-10DC23B245A9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=1.20E+12,matC_dose =5.40E+12,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  <c:pt idx="1">
                  <c:v>0.65900000000000003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0E-422F-BEF5-10DC23B245A9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D0E-422F-BEF5-10DC23B24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=1.10E+12,matC_dose =5.20E+12,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DD-494F-BD62-3574D576F2B4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=1.20E+12,matC_dose =5.20E+12,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  <c:pt idx="1">
                  <c:v>2.0299999999999998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DD-494F-BD62-3574D576F2B4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=1.30E+12,matC_dose =5.20E+12,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  <c:pt idx="2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DD-494F-BD62-3574D576F2B4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=1.10E+12,matC_dose =5.30E+12,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  <c:pt idx="0">
                  <c:v>2.23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DD-494F-BD62-3574D576F2B4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=1.20E+12,matC_dose =5.30E+12,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1">
                  <c:v>1.93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DD-494F-BD62-3574D576F2B4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=1.30E+12,matC_dose =5.30E+12,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2">
                  <c:v>1.53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DD-494F-BD62-3574D576F2B4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=1.10E+12,matC_dose =5.40E+12,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  <c:pt idx="1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DD-494F-BD62-3574D576F2B4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=1.20E+12,matC_dose =5.40E+12,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  <c:pt idx="1">
                  <c:v>1.83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DD-494F-BD62-3574D576F2B4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DD-494F-BD62-3574D576F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=1.10E+12,matC_dose =5.20E+12,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F-40CB-9B0C-77D117C7BD8C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=1.20E+12,matC_dose =5.20E+12,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  <c:pt idx="1">
                  <c:v>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F-40CB-9B0C-77D117C7BD8C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=1.30E+12,matC_dose =5.20E+12,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  <c:pt idx="2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FF-40CB-9B0C-77D117C7BD8C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=1.10E+12,matC_dose =5.30E+12,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  <c:pt idx="0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FF-40CB-9B0C-77D117C7BD8C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=1.20E+12,matC_dose =5.30E+12,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1">
                  <c:v>2.37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FF-40CB-9B0C-77D117C7BD8C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=1.30E+12,matC_dose =5.30E+12,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2">
                  <c:v>2.4500000000000002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F-40CB-9B0C-77D117C7BD8C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=1.10E+12,matC_dose =5.40E+12,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  <c:pt idx="1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F-40CB-9B0C-77D117C7BD8C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=1.20E+12,matC_dose =5.40E+12,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  <c:pt idx="1">
                  <c:v>2.39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3FF-40CB-9B0C-77D117C7BD8C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3FF-40CB-9B0C-77D117C7B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=1.10E+12,matC_dose =5.20E+12,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A6-4E5E-9A7E-FAE82A79DDA9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=1.20E+12,matC_dose =5.20E+12,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  <c:pt idx="1">
                  <c:v>0.397666666666667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A6-4E5E-9A7E-FAE82A79DDA9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=1.30E+12,matC_dose =5.20E+12,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  <c:pt idx="2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A6-4E5E-9A7E-FAE82A79DDA9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=1.10E+12,matC_dose =5.30E+12,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  <c:pt idx="0">
                  <c:v>0.40100000000000002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A6-4E5E-9A7E-FAE82A79DDA9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=1.20E+12,matC_dose =5.30E+12,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1">
                  <c:v>0.396666666666667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AA6-4E5E-9A7E-FAE82A79DDA9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=1.30E+12,matC_dose =5.30E+12,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2">
                  <c:v>0.392666666666667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AA6-4E5E-9A7E-FAE82A79DDA9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=1.10E+12,matC_dose =5.40E+12,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  <c:pt idx="1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AA6-4E5E-9A7E-FAE82A79DDA9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=1.20E+12,matC_dose =5.40E+12,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  <c:pt idx="1">
                  <c:v>0.395666666666667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AA6-4E5E-9A7E-FAE82A79DDA9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AA6-4E5E-9A7E-FAE82A79D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=1.10E+12,matC_dose =5.20E+12,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散布図!$J$38:$J$40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散布図!$A$41:$I$41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19-48C1-B906-D32EBF6B8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=1.20E+12,matC_dose =5.20E+12,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散布図!$J$46:$J$48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散布図!$A$49:$I$49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散布図!$J$49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BC-4491-AAF1-41E0F043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=1.30E+12,matC_dose =5.20E+12,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散布図!$J$54:$J$56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散布図!$A$57:$I$57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散布図!$J$57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F-48B1-A6A5-7F5107C78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=1.10E+12,matC_dose =5.30E+12,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散布図!$J$62:$J$64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散布図!$A$65:$I$65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散布図!$J$65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9-4FC2-B487-2024FC142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=1.20E+12,matC_dose =5.30E+12,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散布図!$J$70:$J$72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散布図!$A$73:$I$73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8-4A08-AA2C-0BF48CBA0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=1.30E+12,matC_dose =5.30E+12,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散布図!$J$78:$J$80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散布図!$A$81:$I$81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散布図!$J$81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F-4946-8582-4F69B55AA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=1.10E+12,matC_dose =5.40E+12,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散布図!$J$86:$J$88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散布図!$A$89:$I$89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散布図!$J$89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0-467A-90E7-3FD98AC71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=1.20E+12,matC_dose =5.40E+12,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散布図!$J$94:$J$96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散布図!$A$97:$I$97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散布図!$J$97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F-4C46-AB32-E61DE8337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=CWL1_dose =1.30E+12,matC_dose =5.40E+12, :lter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散布図!$J$102:$J$104</c:f>
              <c:strCache>
                <c:ptCount val="3"/>
                <c:pt idx="0">
                  <c:v>CWL1_dose =1.30E+12,matC_dose =5.40E+12,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散布図!$A$105:$I$105</c:f>
              <c:strCache>
                <c:ptCount val="9"/>
                <c:pt idx="0">
                  <c:v>-1.3</c:v>
                </c:pt>
                <c:pt idx="3">
                  <c:v>imp11</c:v>
                </c:pt>
                <c:pt idx="6">
                  <c:v>imp09</c:v>
                </c:pt>
                <c:pt idx="8">
                  <c:v>imp07</c:v>
                </c:pt>
              </c:strCache>
            </c:strRef>
          </c:xVal>
          <c:yVal>
            <c:numRef>
              <c:f>散布図!$J$105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AE-47B7-8599-25FB4F360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6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390525</xdr:rowOff>
        </xdr:from>
        <xdr:to>
          <xdr:col>15</xdr:col>
          <xdr:colOff>104775</xdr:colOff>
          <xdr:row>2</xdr:row>
          <xdr:rowOff>19050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37" name="graph_sumary_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8" name="graph_summary_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39" name="graph_summary_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40" name="graph_summary_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41" name="graph_scatter_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42" name="graph_scatter_2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43" name="graph_scatter_3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44" name="graph_scatter_4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59</xdr:row>
      <xdr:rowOff>0</xdr:rowOff>
    </xdr:from>
    <xdr:to>
      <xdr:col>9</xdr:col>
      <xdr:colOff>519112</xdr:colOff>
      <xdr:row>73</xdr:row>
      <xdr:rowOff>47625</xdr:rowOff>
    </xdr:to>
    <xdr:graphicFrame macro="">
      <xdr:nvGraphicFramePr>
        <xdr:cNvPr id="45" name="graph_scatter_5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74</xdr:row>
      <xdr:rowOff>0</xdr:rowOff>
    </xdr:from>
    <xdr:to>
      <xdr:col>9</xdr:col>
      <xdr:colOff>519112</xdr:colOff>
      <xdr:row>88</xdr:row>
      <xdr:rowOff>47625</xdr:rowOff>
    </xdr:to>
    <xdr:graphicFrame macro="">
      <xdr:nvGraphicFramePr>
        <xdr:cNvPr id="46" name="graph_scatter_6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89</xdr:row>
      <xdr:rowOff>0</xdr:rowOff>
    </xdr:from>
    <xdr:to>
      <xdr:col>9</xdr:col>
      <xdr:colOff>519112</xdr:colOff>
      <xdr:row>103</xdr:row>
      <xdr:rowOff>47625</xdr:rowOff>
    </xdr:to>
    <xdr:graphicFrame macro="">
      <xdr:nvGraphicFramePr>
        <xdr:cNvPr id="47" name="graph_scatter_7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104</xdr:row>
      <xdr:rowOff>0</xdr:rowOff>
    </xdr:from>
    <xdr:to>
      <xdr:col>9</xdr:col>
      <xdr:colOff>519112</xdr:colOff>
      <xdr:row>118</xdr:row>
      <xdr:rowOff>47625</xdr:rowOff>
    </xdr:to>
    <xdr:graphicFrame macro="">
      <xdr:nvGraphicFramePr>
        <xdr:cNvPr id="48" name="graph_scatter_8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119</xdr:row>
      <xdr:rowOff>0</xdr:rowOff>
    </xdr:from>
    <xdr:to>
      <xdr:col>9</xdr:col>
      <xdr:colOff>519112</xdr:colOff>
      <xdr:row>133</xdr:row>
      <xdr:rowOff>47625</xdr:rowOff>
    </xdr:to>
    <xdr:graphicFrame macro="">
      <xdr:nvGraphicFramePr>
        <xdr:cNvPr id="49" name="graph_scatter_9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134</xdr:row>
      <xdr:rowOff>0</xdr:rowOff>
    </xdr:from>
    <xdr:to>
      <xdr:col>9</xdr:col>
      <xdr:colOff>519112</xdr:colOff>
      <xdr:row>148</xdr:row>
      <xdr:rowOff>47625</xdr:rowOff>
    </xdr:to>
    <xdr:graphicFrame macro="">
      <xdr:nvGraphicFramePr>
        <xdr:cNvPr id="50" name="graph_scatter_10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149</xdr:row>
      <xdr:rowOff>0</xdr:rowOff>
    </xdr:from>
    <xdr:to>
      <xdr:col>9</xdr:col>
      <xdr:colOff>519112</xdr:colOff>
      <xdr:row>163</xdr:row>
      <xdr:rowOff>47625</xdr:rowOff>
    </xdr:to>
    <xdr:graphicFrame macro="">
      <xdr:nvGraphicFramePr>
        <xdr:cNvPr id="51" name="graph_scatter_11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164</xdr:row>
      <xdr:rowOff>0</xdr:rowOff>
    </xdr:from>
    <xdr:to>
      <xdr:col>9</xdr:col>
      <xdr:colOff>519112</xdr:colOff>
      <xdr:row>178</xdr:row>
      <xdr:rowOff>47625</xdr:rowOff>
    </xdr:to>
    <xdr:graphicFrame macro="">
      <xdr:nvGraphicFramePr>
        <xdr:cNvPr id="52" name="graph_scatter_12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179</xdr:row>
      <xdr:rowOff>0</xdr:rowOff>
    </xdr:from>
    <xdr:to>
      <xdr:col>9</xdr:col>
      <xdr:colOff>519112</xdr:colOff>
      <xdr:row>193</xdr:row>
      <xdr:rowOff>47625</xdr:rowOff>
    </xdr:to>
    <xdr:graphicFrame macro="">
      <xdr:nvGraphicFramePr>
        <xdr:cNvPr id="53" name="graph_scatter_13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workbookViewId="0">
      <selection activeCell="L11" sqref="L11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173</v>
      </c>
    </row>
    <row r="5" spans="1:22">
      <c r="E5" s="13" t="s">
        <v>174</v>
      </c>
    </row>
    <row r="7" spans="1:22">
      <c r="E7" s="13" t="s">
        <v>176</v>
      </c>
    </row>
    <row r="9" spans="1:22">
      <c r="E9" s="13" t="s">
        <v>177</v>
      </c>
    </row>
    <row r="10" spans="1:22" ht="45.75" customHeight="1"/>
    <row r="11" spans="1:22" ht="45.75" customHeight="1"/>
    <row r="12" spans="1:22">
      <c r="A12" s="30" t="s">
        <v>63</v>
      </c>
      <c r="B12" s="29"/>
      <c r="C12" s="29"/>
      <c r="D12" s="29" t="s">
        <v>66</v>
      </c>
      <c r="E12" s="29"/>
      <c r="F12" s="29"/>
      <c r="I12" s="29"/>
      <c r="J12" s="29" t="s">
        <v>112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</row>
    <row r="13" spans="1:22">
      <c r="A13" s="29"/>
      <c r="B13" s="29"/>
      <c r="C13" s="29"/>
      <c r="D13" s="29" t="s">
        <v>111</v>
      </c>
      <c r="E13" s="29"/>
      <c r="F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</row>
    <row r="14" spans="1:22">
      <c r="A14" s="29"/>
      <c r="B14" s="29">
        <v>6</v>
      </c>
      <c r="C14" s="29"/>
      <c r="D14" s="31"/>
      <c r="E14" s="32" t="s">
        <v>0</v>
      </c>
      <c r="F14" s="32" t="s">
        <v>118</v>
      </c>
      <c r="G14" s="29"/>
      <c r="H14" s="29"/>
      <c r="J14" s="16" t="s">
        <v>115</v>
      </c>
      <c r="K14" s="16" t="s">
        <v>114</v>
      </c>
      <c r="L14" s="16" t="s">
        <v>115</v>
      </c>
      <c r="M14" s="16" t="s">
        <v>104</v>
      </c>
      <c r="N14" s="16" t="s">
        <v>115</v>
      </c>
      <c r="O14" s="16" t="s">
        <v>106</v>
      </c>
      <c r="P14" s="16" t="s">
        <v>115</v>
      </c>
      <c r="Q14" s="16" t="s">
        <v>107</v>
      </c>
      <c r="R14" s="16" t="s">
        <v>115</v>
      </c>
      <c r="S14" s="16" t="s">
        <v>108</v>
      </c>
      <c r="T14" s="16" t="s">
        <v>115</v>
      </c>
      <c r="U14" s="16" t="s">
        <v>109</v>
      </c>
      <c r="V14" s="29"/>
    </row>
    <row r="15" spans="1:22">
      <c r="A15" s="29"/>
      <c r="B15" s="29"/>
      <c r="C15" s="29"/>
      <c r="D15" s="14" t="s">
        <v>116</v>
      </c>
      <c r="E15" s="14" t="s">
        <v>84</v>
      </c>
      <c r="F15" s="14" t="s">
        <v>24</v>
      </c>
      <c r="G15" s="29"/>
      <c r="H15" s="29"/>
      <c r="J15" s="14" t="s">
        <v>116</v>
      </c>
      <c r="K15" s="14">
        <v>1100000000000</v>
      </c>
      <c r="L15" s="14"/>
      <c r="M15" s="14">
        <v>200000000000</v>
      </c>
      <c r="N15" s="14" t="s">
        <v>116</v>
      </c>
      <c r="O15" s="14">
        <v>5200000000000</v>
      </c>
      <c r="P15" s="14"/>
      <c r="Q15" s="14">
        <v>1</v>
      </c>
      <c r="R15" s="14"/>
      <c r="S15" s="14">
        <v>311000000000</v>
      </c>
      <c r="T15" s="14" t="s">
        <v>220</v>
      </c>
      <c r="U15" s="14">
        <v>-1.1000000000000001</v>
      </c>
      <c r="V15" s="29"/>
    </row>
    <row r="16" spans="1:22">
      <c r="A16" s="29"/>
      <c r="B16" s="29"/>
      <c r="C16" s="29"/>
      <c r="D16" s="14" t="s">
        <v>116</v>
      </c>
      <c r="E16" s="14" t="s">
        <v>68</v>
      </c>
      <c r="F16" s="14" t="s">
        <v>24</v>
      </c>
      <c r="G16" s="29"/>
      <c r="H16" s="29"/>
      <c r="J16" s="14" t="s">
        <v>116</v>
      </c>
      <c r="K16" s="14">
        <v>1200000000000</v>
      </c>
      <c r="L16" s="14"/>
      <c r="M16" s="14">
        <v>300000000000</v>
      </c>
      <c r="N16" s="14" t="s">
        <v>116</v>
      </c>
      <c r="O16" s="14">
        <v>5300000000000</v>
      </c>
      <c r="P16" s="14"/>
      <c r="Q16" s="14">
        <v>2</v>
      </c>
      <c r="R16" s="14"/>
      <c r="S16" s="14">
        <v>330000000000</v>
      </c>
      <c r="T16" s="14" t="s">
        <v>220</v>
      </c>
      <c r="U16" s="14">
        <v>-1.2</v>
      </c>
      <c r="V16" s="29"/>
    </row>
    <row r="17" spans="1:22">
      <c r="A17" s="29"/>
      <c r="B17" s="29"/>
      <c r="C17" s="29"/>
      <c r="D17" s="14" t="s">
        <v>116</v>
      </c>
      <c r="E17" s="14" t="s">
        <v>70</v>
      </c>
      <c r="F17" s="14" t="s">
        <v>24</v>
      </c>
      <c r="G17" s="29"/>
      <c r="H17" s="29"/>
      <c r="J17" s="14" t="s">
        <v>116</v>
      </c>
      <c r="K17" s="14">
        <v>1300000000000</v>
      </c>
      <c r="L17" s="14"/>
      <c r="M17" s="14"/>
      <c r="N17" s="14" t="s">
        <v>116</v>
      </c>
      <c r="O17" s="14">
        <v>5400000000000</v>
      </c>
      <c r="P17" s="14"/>
      <c r="Q17" s="14">
        <v>3</v>
      </c>
      <c r="R17" s="14"/>
      <c r="S17" s="14">
        <v>360000000000</v>
      </c>
      <c r="T17" s="14"/>
      <c r="U17" s="14">
        <v>-1.3</v>
      </c>
      <c r="V17" s="29"/>
    </row>
    <row r="18" spans="1:22">
      <c r="A18" s="29"/>
      <c r="B18" s="29"/>
      <c r="C18" s="29"/>
      <c r="D18" s="14" t="s">
        <v>116</v>
      </c>
      <c r="E18" s="14" t="s">
        <v>74</v>
      </c>
      <c r="F18" s="14" t="s">
        <v>119</v>
      </c>
      <c r="G18" s="29"/>
      <c r="H18" s="29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9"/>
    </row>
    <row r="19" spans="1:22">
      <c r="A19" s="29"/>
      <c r="B19" s="29"/>
      <c r="C19" s="29"/>
      <c r="D19" s="14" t="s">
        <v>116</v>
      </c>
      <c r="E19" s="14" t="s">
        <v>85</v>
      </c>
      <c r="F19" s="14" t="s">
        <v>120</v>
      </c>
      <c r="G19" s="29"/>
      <c r="H19" s="29"/>
      <c r="V19" s="29"/>
    </row>
    <row r="20" spans="1:22">
      <c r="G20" s="29"/>
      <c r="H20" s="29"/>
      <c r="V20" s="29"/>
    </row>
  </sheetData>
  <phoneticPr fontId="1"/>
  <dataValidations count="1">
    <dataValidation type="list" allowBlank="1" showInputMessage="1" showErrorMessage="1" sqref="D14:D19 J15:J19 L15:L19 N15:N19 P15:P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10</xdr:col>
                    <xdr:colOff>200025</xdr:colOff>
                    <xdr:row>0</xdr:row>
                    <xdr:rowOff>390525</xdr:rowOff>
                  </from>
                  <to>
                    <xdr:col>15</xdr:col>
                    <xdr:colOff>104775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69B2B-8CDC-4976-8EC2-D05B7D61EBD5}">
  <sheetPr codeName="Sheet5">
    <tabColor theme="9"/>
  </sheetPr>
  <dimension ref="A1:H6"/>
  <sheetViews>
    <sheetView workbookViewId="0"/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118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119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120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A21" sqref="A21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149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150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151</v>
      </c>
      <c r="B4" s="1">
        <v>1100000000000</v>
      </c>
      <c r="C4" s="1">
        <v>200000000000</v>
      </c>
      <c r="D4" s="2">
        <v>1</v>
      </c>
      <c r="E4" s="27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152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4">
        <v>330000000000</v>
      </c>
      <c r="H5" s="17">
        <v>-1.2</v>
      </c>
      <c r="I5" s="2">
        <v>2</v>
      </c>
    </row>
    <row r="6" spans="1:9">
      <c r="A6" s="2" t="s">
        <v>153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4">
        <v>330000000000</v>
      </c>
      <c r="H6" s="17">
        <v>-1.2</v>
      </c>
      <c r="I6" s="2">
        <v>2</v>
      </c>
    </row>
    <row r="7" spans="1:9">
      <c r="A7" s="2" t="s">
        <v>154</v>
      </c>
      <c r="B7" s="4">
        <v>1200000000000</v>
      </c>
      <c r="C7" s="1">
        <v>200000000000</v>
      </c>
      <c r="D7" s="2">
        <v>1</v>
      </c>
      <c r="E7" s="27">
        <v>5400000000000</v>
      </c>
      <c r="F7" s="20">
        <v>3</v>
      </c>
      <c r="G7" s="24">
        <v>330000000000</v>
      </c>
      <c r="H7" s="17">
        <v>-1.2</v>
      </c>
      <c r="I7" s="2">
        <v>2</v>
      </c>
    </row>
    <row r="8" spans="1:9">
      <c r="A8" s="2" t="s">
        <v>155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4">
        <v>330000000000</v>
      </c>
      <c r="H8" s="18">
        <v>-1.3</v>
      </c>
      <c r="I8" s="2">
        <v>2</v>
      </c>
    </row>
    <row r="9" spans="1:9">
      <c r="A9" s="2" t="s">
        <v>156</v>
      </c>
      <c r="B9" s="4">
        <v>1300000000000</v>
      </c>
      <c r="C9" s="25">
        <v>300000000000</v>
      </c>
      <c r="D9" s="2">
        <v>1</v>
      </c>
      <c r="E9" s="1">
        <v>5200000000000</v>
      </c>
      <c r="F9" s="19">
        <v>2</v>
      </c>
      <c r="G9" s="24">
        <v>330000000000</v>
      </c>
      <c r="H9" s="18">
        <v>-1.3</v>
      </c>
      <c r="I9" s="2">
        <v>2</v>
      </c>
    </row>
    <row r="10" spans="1:9">
      <c r="A10" s="2" t="s">
        <v>157</v>
      </c>
      <c r="B10" s="4">
        <v>1300000000000</v>
      </c>
      <c r="C10" s="25">
        <v>300000000000</v>
      </c>
      <c r="D10" s="2">
        <v>1</v>
      </c>
      <c r="E10" s="22">
        <v>5300000000000</v>
      </c>
      <c r="F10" s="20">
        <v>3</v>
      </c>
      <c r="G10" s="24">
        <v>330000000000</v>
      </c>
      <c r="H10" s="18">
        <v>-1.3</v>
      </c>
      <c r="I10" s="2">
        <v>2</v>
      </c>
    </row>
    <row r="11" spans="1:9">
      <c r="A11" s="2" t="s">
        <v>158</v>
      </c>
      <c r="B11" s="4">
        <v>1300000000000</v>
      </c>
      <c r="C11" s="25">
        <v>300000000000</v>
      </c>
      <c r="D11" s="2">
        <v>1</v>
      </c>
      <c r="E11" s="27">
        <v>5400000000000</v>
      </c>
      <c r="F11" s="2">
        <v>1</v>
      </c>
      <c r="G11" s="24">
        <v>330000000000</v>
      </c>
      <c r="H11" s="18">
        <v>-1.3</v>
      </c>
      <c r="I11" s="2">
        <v>2</v>
      </c>
    </row>
    <row r="12" spans="1:9">
      <c r="A12" s="2" t="s">
        <v>159</v>
      </c>
      <c r="B12" s="4">
        <v>1300000000000</v>
      </c>
      <c r="C12" s="25">
        <v>300000000000</v>
      </c>
      <c r="D12" s="2">
        <v>1</v>
      </c>
      <c r="E12" s="1">
        <v>5200000000000</v>
      </c>
      <c r="F12" s="19">
        <v>2</v>
      </c>
      <c r="G12" s="26">
        <v>360000000000</v>
      </c>
      <c r="H12" s="18">
        <v>-1.3</v>
      </c>
      <c r="I12" s="2">
        <v>2</v>
      </c>
    </row>
    <row r="13" spans="1:9">
      <c r="A13" s="2" t="s">
        <v>160</v>
      </c>
      <c r="B13" s="4">
        <v>1400000000000</v>
      </c>
      <c r="C13" s="25">
        <v>300000000000</v>
      </c>
      <c r="D13" s="2">
        <v>1</v>
      </c>
      <c r="E13" s="22">
        <v>5300000000000</v>
      </c>
      <c r="F13" s="20">
        <v>3</v>
      </c>
      <c r="G13" s="26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F011-6CE0-4B0D-8E6E-07B74C5596B6}">
  <sheetPr codeName="Sheet16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120</v>
      </c>
      <c r="Q1" t="s">
        <v>120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1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120</v>
      </c>
      <c r="Q4" t="s">
        <v>120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7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4">
        <v>330000000000</v>
      </c>
      <c r="E11" s="23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2D599-95D0-4583-BFA3-C8C4F7CE55D0}">
  <sheetPr codeName="Sheet7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120</v>
      </c>
      <c r="Q1" t="s">
        <v>120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1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120</v>
      </c>
      <c r="Q4" t="s">
        <v>120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7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4">
        <v>330000000000</v>
      </c>
      <c r="E11" s="23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E13"/>
  <sheetViews>
    <sheetView zoomScale="85" zoomScaleNormal="85" workbookViewId="0">
      <selection activeCell="B45" sqref="B45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1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1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105"/>
  <sheetViews>
    <sheetView topLeftCell="A55" zoomScaleNormal="100" workbookViewId="0"/>
  </sheetViews>
  <sheetFormatPr defaultRowHeight="18.75"/>
  <sheetData>
    <row r="1" spans="1:10">
      <c r="A1" t="s">
        <v>129</v>
      </c>
    </row>
    <row r="4" spans="1:10">
      <c r="A4" t="s">
        <v>204</v>
      </c>
    </row>
    <row r="5" spans="1:10">
      <c r="B5" t="s">
        <v>131</v>
      </c>
    </row>
    <row r="6" spans="1:10">
      <c r="A6" t="s">
        <v>132</v>
      </c>
      <c r="B6" t="s">
        <v>188</v>
      </c>
      <c r="C6" t="s">
        <v>189</v>
      </c>
      <c r="D6" t="s">
        <v>190</v>
      </c>
      <c r="E6" t="s">
        <v>191</v>
      </c>
      <c r="F6" t="s">
        <v>192</v>
      </c>
      <c r="G6" t="s">
        <v>193</v>
      </c>
      <c r="H6" t="s">
        <v>194</v>
      </c>
      <c r="I6" t="s">
        <v>195</v>
      </c>
      <c r="J6" t="s">
        <v>196</v>
      </c>
    </row>
    <row r="7" spans="1:10">
      <c r="A7">
        <v>-1.1000000000000001</v>
      </c>
      <c r="B7">
        <v>0.64900000000000002</v>
      </c>
      <c r="E7">
        <v>0.65100000000000002</v>
      </c>
    </row>
    <row r="8" spans="1:10">
      <c r="A8">
        <v>-1.2</v>
      </c>
      <c r="C8">
        <v>0.65500000000000003</v>
      </c>
      <c r="F8">
        <v>0.65700000000000003</v>
      </c>
      <c r="H8">
        <v>0.65300000000000002</v>
      </c>
      <c r="I8">
        <v>0.65900000000000003</v>
      </c>
    </row>
    <row r="9" spans="1:10">
      <c r="A9">
        <v>-1.3</v>
      </c>
      <c r="D9">
        <v>0.66900000000000004</v>
      </c>
      <c r="G9">
        <v>0.66500000000000004</v>
      </c>
      <c r="I9">
        <v>0.66100000000000003</v>
      </c>
      <c r="J9">
        <v>0.66700000000000004</v>
      </c>
    </row>
    <row r="12" spans="1:10">
      <c r="A12" t="s">
        <v>205</v>
      </c>
    </row>
    <row r="13" spans="1:10">
      <c r="B13" t="s">
        <v>131</v>
      </c>
    </row>
    <row r="14" spans="1:10">
      <c r="A14" t="s">
        <v>132</v>
      </c>
      <c r="B14" t="s">
        <v>188</v>
      </c>
      <c r="C14" t="s">
        <v>189</v>
      </c>
      <c r="D14" t="s">
        <v>190</v>
      </c>
      <c r="E14" t="s">
        <v>191</v>
      </c>
      <c r="F14" t="s">
        <v>192</v>
      </c>
      <c r="G14" t="s">
        <v>193</v>
      </c>
      <c r="H14" t="s">
        <v>194</v>
      </c>
      <c r="I14" t="s">
        <v>195</v>
      </c>
      <c r="J14" t="s">
        <v>196</v>
      </c>
    </row>
    <row r="15" spans="1:10">
      <c r="A15">
        <v>-1.1000000000000001</v>
      </c>
      <c r="B15">
        <v>2.33</v>
      </c>
      <c r="E15">
        <v>2.23</v>
      </c>
    </row>
    <row r="16" spans="1:10">
      <c r="A16">
        <v>-1.2</v>
      </c>
      <c r="C16">
        <v>2.0299999999999998</v>
      </c>
      <c r="F16">
        <v>1.93</v>
      </c>
      <c r="H16">
        <v>2.13</v>
      </c>
      <c r="I16">
        <v>1.83</v>
      </c>
    </row>
    <row r="17" spans="1:10">
      <c r="A17">
        <v>-1.3</v>
      </c>
      <c r="D17">
        <v>1.33</v>
      </c>
      <c r="G17">
        <v>1.53</v>
      </c>
      <c r="I17">
        <v>1.73</v>
      </c>
      <c r="J17">
        <v>1.43</v>
      </c>
    </row>
    <row r="20" spans="1:10">
      <c r="A20" t="s">
        <v>206</v>
      </c>
    </row>
    <row r="21" spans="1:10">
      <c r="B21" t="s">
        <v>131</v>
      </c>
    </row>
    <row r="22" spans="1:10">
      <c r="A22" t="s">
        <v>132</v>
      </c>
      <c r="B22" t="s">
        <v>188</v>
      </c>
      <c r="C22" t="s">
        <v>189</v>
      </c>
      <c r="D22" t="s">
        <v>190</v>
      </c>
      <c r="E22" t="s">
        <v>191</v>
      </c>
      <c r="F22" t="s">
        <v>192</v>
      </c>
      <c r="G22" t="s">
        <v>193</v>
      </c>
      <c r="H22" t="s">
        <v>194</v>
      </c>
      <c r="I22" t="s">
        <v>195</v>
      </c>
      <c r="J22" t="s">
        <v>196</v>
      </c>
    </row>
    <row r="23" spans="1:10">
      <c r="A23">
        <v>-1.1000000000000001</v>
      </c>
      <c r="B23">
        <v>2.29</v>
      </c>
      <c r="E23">
        <v>2.31</v>
      </c>
    </row>
    <row r="24" spans="1:10">
      <c r="A24">
        <v>-1.2</v>
      </c>
      <c r="C24">
        <v>2.35</v>
      </c>
      <c r="F24">
        <v>2.37</v>
      </c>
      <c r="H24">
        <v>2.33</v>
      </c>
      <c r="I24">
        <v>2.39</v>
      </c>
    </row>
    <row r="25" spans="1:10">
      <c r="A25">
        <v>-1.3</v>
      </c>
      <c r="D25">
        <v>2.4900000000000002</v>
      </c>
      <c r="G25">
        <v>2.4500000000000002</v>
      </c>
      <c r="I25">
        <v>2.41</v>
      </c>
      <c r="J25">
        <v>2.4700000000000002</v>
      </c>
    </row>
    <row r="28" spans="1:10">
      <c r="A28" t="s">
        <v>207</v>
      </c>
    </row>
    <row r="29" spans="1:10">
      <c r="B29" t="s">
        <v>131</v>
      </c>
    </row>
    <row r="30" spans="1:10">
      <c r="A30" t="s">
        <v>132</v>
      </c>
      <c r="B30" t="s">
        <v>188</v>
      </c>
      <c r="C30" t="s">
        <v>189</v>
      </c>
      <c r="D30" t="s">
        <v>190</v>
      </c>
      <c r="E30" t="s">
        <v>191</v>
      </c>
      <c r="F30" t="s">
        <v>192</v>
      </c>
      <c r="G30" t="s">
        <v>193</v>
      </c>
      <c r="H30" t="s">
        <v>194</v>
      </c>
      <c r="I30" t="s">
        <v>195</v>
      </c>
      <c r="J30" t="s">
        <v>196</v>
      </c>
    </row>
    <row r="31" spans="1:10">
      <c r="A31">
        <v>-1.1000000000000001</v>
      </c>
      <c r="B31">
        <v>0.4</v>
      </c>
      <c r="E31">
        <v>0.40100000000000002</v>
      </c>
    </row>
    <row r="32" spans="1:10">
      <c r="A32">
        <v>-1.2</v>
      </c>
      <c r="C32">
        <v>0.397666666666667</v>
      </c>
      <c r="F32">
        <v>0.396666666666667</v>
      </c>
      <c r="H32">
        <v>0.39800000000000002</v>
      </c>
      <c r="I32">
        <v>0.395666666666667</v>
      </c>
    </row>
    <row r="33" spans="1:10">
      <c r="A33">
        <v>-1.3</v>
      </c>
      <c r="D33">
        <v>0.390666666666667</v>
      </c>
      <c r="G33">
        <v>0.392666666666667</v>
      </c>
      <c r="I33">
        <v>0.394666666666667</v>
      </c>
      <c r="J33">
        <v>0.391666666666667</v>
      </c>
    </row>
    <row r="36" spans="1:10">
      <c r="A36" t="s">
        <v>208</v>
      </c>
    </row>
    <row r="37" spans="1:10">
      <c r="B37" t="s">
        <v>131</v>
      </c>
    </row>
    <row r="38" spans="1:10">
      <c r="A38" t="s">
        <v>132</v>
      </c>
      <c r="B38" t="s">
        <v>188</v>
      </c>
      <c r="C38" t="s">
        <v>189</v>
      </c>
      <c r="D38" t="s">
        <v>190</v>
      </c>
      <c r="E38" t="s">
        <v>191</v>
      </c>
      <c r="F38" t="s">
        <v>192</v>
      </c>
      <c r="G38" t="s">
        <v>193</v>
      </c>
      <c r="H38" t="s">
        <v>194</v>
      </c>
      <c r="I38" t="s">
        <v>195</v>
      </c>
      <c r="J38" t="s">
        <v>196</v>
      </c>
    </row>
    <row r="39" spans="1:10">
      <c r="A39">
        <v>-1.1000000000000001</v>
      </c>
      <c r="B39" t="s">
        <v>15</v>
      </c>
      <c r="E39" t="s">
        <v>16</v>
      </c>
    </row>
    <row r="40" spans="1:10">
      <c r="A40">
        <v>-1.2</v>
      </c>
      <c r="C40" t="s">
        <v>18</v>
      </c>
      <c r="F40" t="s">
        <v>19</v>
      </c>
      <c r="H40" t="s">
        <v>17</v>
      </c>
      <c r="I40" t="s">
        <v>20</v>
      </c>
    </row>
    <row r="41" spans="1:10">
      <c r="A41">
        <v>-1.3</v>
      </c>
      <c r="D41" t="s">
        <v>219</v>
      </c>
      <c r="G41" t="s">
        <v>93</v>
      </c>
      <c r="I41" t="s">
        <v>86</v>
      </c>
      <c r="J41" t="s">
        <v>94</v>
      </c>
    </row>
    <row r="44" spans="1:10">
      <c r="A44" t="s">
        <v>209</v>
      </c>
    </row>
    <row r="45" spans="1:10">
      <c r="B45" t="s">
        <v>131</v>
      </c>
    </row>
    <row r="46" spans="1:10">
      <c r="A46" t="s">
        <v>132</v>
      </c>
      <c r="B46" t="s">
        <v>188</v>
      </c>
      <c r="C46" t="s">
        <v>189</v>
      </c>
      <c r="D46" t="s">
        <v>190</v>
      </c>
      <c r="E46" t="s">
        <v>191</v>
      </c>
      <c r="F46" t="s">
        <v>192</v>
      </c>
      <c r="G46" t="s">
        <v>193</v>
      </c>
      <c r="H46" t="s">
        <v>194</v>
      </c>
      <c r="I46" t="s">
        <v>195</v>
      </c>
      <c r="J46" t="s">
        <v>196</v>
      </c>
    </row>
    <row r="47" spans="1:10">
      <c r="A47">
        <v>-1.1000000000000001</v>
      </c>
      <c r="B47" t="s">
        <v>15</v>
      </c>
      <c r="E47" t="s">
        <v>16</v>
      </c>
    </row>
    <row r="48" spans="1:10">
      <c r="A48">
        <v>-1.2</v>
      </c>
      <c r="C48" t="s">
        <v>18</v>
      </c>
      <c r="F48" t="s">
        <v>19</v>
      </c>
      <c r="H48" t="s">
        <v>17</v>
      </c>
      <c r="I48" t="s">
        <v>20</v>
      </c>
    </row>
    <row r="49" spans="1:10">
      <c r="A49">
        <v>-1.3</v>
      </c>
      <c r="D49" t="s">
        <v>219</v>
      </c>
      <c r="G49" t="s">
        <v>93</v>
      </c>
      <c r="I49" t="s">
        <v>86</v>
      </c>
      <c r="J49" t="s">
        <v>94</v>
      </c>
    </row>
    <row r="52" spans="1:10">
      <c r="A52" t="s">
        <v>210</v>
      </c>
    </row>
    <row r="53" spans="1:10">
      <c r="B53" t="s">
        <v>131</v>
      </c>
    </row>
    <row r="54" spans="1:10">
      <c r="A54" t="s">
        <v>132</v>
      </c>
      <c r="B54" t="s">
        <v>188</v>
      </c>
      <c r="C54" t="s">
        <v>189</v>
      </c>
      <c r="D54" t="s">
        <v>190</v>
      </c>
      <c r="E54" t="s">
        <v>191</v>
      </c>
      <c r="F54" t="s">
        <v>192</v>
      </c>
      <c r="G54" t="s">
        <v>193</v>
      </c>
      <c r="H54" t="s">
        <v>194</v>
      </c>
      <c r="I54" t="s">
        <v>195</v>
      </c>
      <c r="J54" t="s">
        <v>196</v>
      </c>
    </row>
    <row r="55" spans="1:10">
      <c r="A55">
        <v>-1.1000000000000001</v>
      </c>
      <c r="B55" t="s">
        <v>15</v>
      </c>
      <c r="E55" t="s">
        <v>16</v>
      </c>
    </row>
    <row r="56" spans="1:10">
      <c r="A56">
        <v>-1.2</v>
      </c>
      <c r="C56" t="s">
        <v>18</v>
      </c>
      <c r="F56" t="s">
        <v>19</v>
      </c>
      <c r="H56" t="s">
        <v>17</v>
      </c>
      <c r="I56" t="s">
        <v>20</v>
      </c>
    </row>
    <row r="57" spans="1:10">
      <c r="A57">
        <v>-1.3</v>
      </c>
      <c r="D57" t="s">
        <v>219</v>
      </c>
      <c r="G57" t="s">
        <v>93</v>
      </c>
      <c r="I57" t="s">
        <v>86</v>
      </c>
      <c r="J57" t="s">
        <v>94</v>
      </c>
    </row>
    <row r="60" spans="1:10">
      <c r="A60" t="s">
        <v>211</v>
      </c>
    </row>
    <row r="61" spans="1:10">
      <c r="B61" t="s">
        <v>131</v>
      </c>
    </row>
    <row r="62" spans="1:10">
      <c r="A62" t="s">
        <v>132</v>
      </c>
      <c r="B62" t="s">
        <v>188</v>
      </c>
      <c r="C62" t="s">
        <v>189</v>
      </c>
      <c r="D62" t="s">
        <v>190</v>
      </c>
      <c r="E62" t="s">
        <v>191</v>
      </c>
      <c r="F62" t="s">
        <v>192</v>
      </c>
      <c r="G62" t="s">
        <v>193</v>
      </c>
      <c r="H62" t="s">
        <v>194</v>
      </c>
      <c r="I62" t="s">
        <v>195</v>
      </c>
      <c r="J62" t="s">
        <v>196</v>
      </c>
    </row>
    <row r="63" spans="1:10">
      <c r="A63">
        <v>-1.1000000000000001</v>
      </c>
      <c r="B63" t="s">
        <v>15</v>
      </c>
      <c r="E63" t="s">
        <v>16</v>
      </c>
    </row>
    <row r="64" spans="1:10">
      <c r="A64">
        <v>-1.2</v>
      </c>
      <c r="C64" t="s">
        <v>18</v>
      </c>
      <c r="F64" t="s">
        <v>19</v>
      </c>
      <c r="H64" t="s">
        <v>17</v>
      </c>
      <c r="I64" t="s">
        <v>20</v>
      </c>
    </row>
    <row r="65" spans="1:10">
      <c r="A65">
        <v>-1.3</v>
      </c>
      <c r="D65" t="s">
        <v>219</v>
      </c>
      <c r="G65" t="s">
        <v>93</v>
      </c>
      <c r="I65" t="s">
        <v>86</v>
      </c>
      <c r="J65" t="s">
        <v>94</v>
      </c>
    </row>
    <row r="68" spans="1:10">
      <c r="A68" t="s">
        <v>212</v>
      </c>
    </row>
    <row r="69" spans="1:10">
      <c r="B69" t="s">
        <v>131</v>
      </c>
    </row>
    <row r="70" spans="1:10">
      <c r="A70" t="s">
        <v>132</v>
      </c>
      <c r="B70" t="s">
        <v>188</v>
      </c>
      <c r="C70" t="s">
        <v>189</v>
      </c>
      <c r="D70" t="s">
        <v>190</v>
      </c>
      <c r="E70" t="s">
        <v>191</v>
      </c>
      <c r="F70" t="s">
        <v>192</v>
      </c>
      <c r="G70" t="s">
        <v>193</v>
      </c>
      <c r="H70" t="s">
        <v>194</v>
      </c>
      <c r="I70" t="s">
        <v>195</v>
      </c>
      <c r="J70" t="s">
        <v>196</v>
      </c>
    </row>
    <row r="71" spans="1:10">
      <c r="A71">
        <v>-1.1000000000000001</v>
      </c>
      <c r="B71" t="s">
        <v>15</v>
      </c>
      <c r="E71" t="s">
        <v>16</v>
      </c>
    </row>
    <row r="72" spans="1:10">
      <c r="A72">
        <v>-1.2</v>
      </c>
      <c r="C72" t="s">
        <v>18</v>
      </c>
      <c r="F72" t="s">
        <v>19</v>
      </c>
      <c r="H72" t="s">
        <v>17</v>
      </c>
      <c r="I72" t="s">
        <v>20</v>
      </c>
    </row>
    <row r="73" spans="1:10">
      <c r="A73">
        <v>-1.3</v>
      </c>
      <c r="D73" t="s">
        <v>219</v>
      </c>
      <c r="G73" t="s">
        <v>93</v>
      </c>
      <c r="I73" t="s">
        <v>86</v>
      </c>
      <c r="J73" t="s">
        <v>94</v>
      </c>
    </row>
    <row r="76" spans="1:10">
      <c r="A76" t="s">
        <v>213</v>
      </c>
    </row>
    <row r="77" spans="1:10">
      <c r="B77" t="s">
        <v>131</v>
      </c>
    </row>
    <row r="78" spans="1:10">
      <c r="A78" t="s">
        <v>132</v>
      </c>
      <c r="B78" t="s">
        <v>188</v>
      </c>
      <c r="C78" t="s">
        <v>189</v>
      </c>
      <c r="D78" t="s">
        <v>190</v>
      </c>
      <c r="E78" t="s">
        <v>191</v>
      </c>
      <c r="F78" t="s">
        <v>192</v>
      </c>
      <c r="G78" t="s">
        <v>193</v>
      </c>
      <c r="H78" t="s">
        <v>194</v>
      </c>
      <c r="I78" t="s">
        <v>195</v>
      </c>
      <c r="J78" t="s">
        <v>196</v>
      </c>
    </row>
    <row r="79" spans="1:10">
      <c r="A79">
        <v>-1.1000000000000001</v>
      </c>
      <c r="B79" t="s">
        <v>15</v>
      </c>
      <c r="E79" t="s">
        <v>16</v>
      </c>
    </row>
    <row r="80" spans="1:10">
      <c r="A80">
        <v>-1.2</v>
      </c>
      <c r="C80" t="s">
        <v>18</v>
      </c>
      <c r="F80" t="s">
        <v>19</v>
      </c>
      <c r="H80" t="s">
        <v>17</v>
      </c>
      <c r="I80" t="s">
        <v>20</v>
      </c>
    </row>
    <row r="81" spans="1:10">
      <c r="A81">
        <v>-1.3</v>
      </c>
      <c r="D81" t="s">
        <v>219</v>
      </c>
      <c r="G81" t="s">
        <v>93</v>
      </c>
      <c r="I81" t="s">
        <v>86</v>
      </c>
      <c r="J81" t="s">
        <v>94</v>
      </c>
    </row>
    <row r="84" spans="1:10">
      <c r="A84" t="s">
        <v>214</v>
      </c>
    </row>
    <row r="85" spans="1:10">
      <c r="B85" t="s">
        <v>131</v>
      </c>
    </row>
    <row r="86" spans="1:10">
      <c r="A86" t="s">
        <v>132</v>
      </c>
      <c r="B86" t="s">
        <v>188</v>
      </c>
      <c r="C86" t="s">
        <v>189</v>
      </c>
      <c r="D86" t="s">
        <v>190</v>
      </c>
      <c r="E86" t="s">
        <v>191</v>
      </c>
      <c r="F86" t="s">
        <v>192</v>
      </c>
      <c r="G86" t="s">
        <v>193</v>
      </c>
      <c r="H86" t="s">
        <v>194</v>
      </c>
      <c r="I86" t="s">
        <v>195</v>
      </c>
      <c r="J86" t="s">
        <v>196</v>
      </c>
    </row>
    <row r="87" spans="1:10">
      <c r="A87">
        <v>-1.1000000000000001</v>
      </c>
      <c r="B87" t="s">
        <v>15</v>
      </c>
      <c r="E87" t="s">
        <v>16</v>
      </c>
    </row>
    <row r="88" spans="1:10">
      <c r="A88">
        <v>-1.2</v>
      </c>
      <c r="C88" t="s">
        <v>18</v>
      </c>
      <c r="F88" t="s">
        <v>19</v>
      </c>
      <c r="H88" t="s">
        <v>17</v>
      </c>
      <c r="I88" t="s">
        <v>20</v>
      </c>
    </row>
    <row r="89" spans="1:10">
      <c r="A89">
        <v>-1.3</v>
      </c>
      <c r="D89" t="s">
        <v>219</v>
      </c>
      <c r="G89" t="s">
        <v>93</v>
      </c>
      <c r="I89" t="s">
        <v>86</v>
      </c>
      <c r="J89" t="s">
        <v>94</v>
      </c>
    </row>
    <row r="92" spans="1:10">
      <c r="A92" t="s">
        <v>215</v>
      </c>
    </row>
    <row r="93" spans="1:10">
      <c r="B93" t="s">
        <v>131</v>
      </c>
    </row>
    <row r="94" spans="1:10">
      <c r="A94" t="s">
        <v>132</v>
      </c>
      <c r="B94" t="s">
        <v>188</v>
      </c>
      <c r="C94" t="s">
        <v>189</v>
      </c>
      <c r="D94" t="s">
        <v>190</v>
      </c>
      <c r="E94" t="s">
        <v>191</v>
      </c>
      <c r="F94" t="s">
        <v>192</v>
      </c>
      <c r="G94" t="s">
        <v>193</v>
      </c>
      <c r="H94" t="s">
        <v>194</v>
      </c>
      <c r="I94" t="s">
        <v>195</v>
      </c>
      <c r="J94" t="s">
        <v>196</v>
      </c>
    </row>
    <row r="95" spans="1:10">
      <c r="A95">
        <v>-1.1000000000000001</v>
      </c>
      <c r="B95" t="s">
        <v>15</v>
      </c>
      <c r="E95" t="s">
        <v>16</v>
      </c>
    </row>
    <row r="96" spans="1:10">
      <c r="A96">
        <v>-1.2</v>
      </c>
      <c r="C96" t="s">
        <v>18</v>
      </c>
      <c r="F96" t="s">
        <v>19</v>
      </c>
      <c r="H96" t="s">
        <v>17</v>
      </c>
      <c r="I96" t="s">
        <v>20</v>
      </c>
    </row>
    <row r="97" spans="1:10">
      <c r="A97">
        <v>-1.3</v>
      </c>
      <c r="D97" t="s">
        <v>219</v>
      </c>
      <c r="G97" t="s">
        <v>93</v>
      </c>
      <c r="I97" t="s">
        <v>86</v>
      </c>
      <c r="J97" t="s">
        <v>94</v>
      </c>
    </row>
    <row r="100" spans="1:10">
      <c r="A100" t="s">
        <v>216</v>
      </c>
    </row>
    <row r="101" spans="1:10">
      <c r="B101" t="s">
        <v>131</v>
      </c>
    </row>
    <row r="102" spans="1:10">
      <c r="A102" t="s">
        <v>132</v>
      </c>
      <c r="B102" t="s">
        <v>188</v>
      </c>
      <c r="C102" t="s">
        <v>189</v>
      </c>
      <c r="D102" t="s">
        <v>190</v>
      </c>
      <c r="E102" t="s">
        <v>191</v>
      </c>
      <c r="F102" t="s">
        <v>192</v>
      </c>
      <c r="G102" t="s">
        <v>193</v>
      </c>
      <c r="H102" t="s">
        <v>194</v>
      </c>
      <c r="I102" t="s">
        <v>195</v>
      </c>
      <c r="J102" t="s">
        <v>196</v>
      </c>
    </row>
    <row r="103" spans="1:10">
      <c r="A103">
        <v>-1.1000000000000001</v>
      </c>
      <c r="B103" t="s">
        <v>15</v>
      </c>
      <c r="E103" t="s">
        <v>16</v>
      </c>
    </row>
    <row r="104" spans="1:10">
      <c r="A104">
        <v>-1.2</v>
      </c>
      <c r="C104" t="s">
        <v>18</v>
      </c>
      <c r="F104" t="s">
        <v>19</v>
      </c>
      <c r="H104" t="s">
        <v>17</v>
      </c>
      <c r="I104" t="s">
        <v>20</v>
      </c>
    </row>
    <row r="105" spans="1:10">
      <c r="A105">
        <v>-1.3</v>
      </c>
      <c r="D105" t="s">
        <v>219</v>
      </c>
      <c r="G105" t="s">
        <v>93</v>
      </c>
      <c r="I105" t="s">
        <v>86</v>
      </c>
      <c r="J105" t="s">
        <v>94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129</v>
      </c>
    </row>
    <row r="4" spans="1:5">
      <c r="A4" t="s">
        <v>130</v>
      </c>
    </row>
    <row r="5" spans="1:5">
      <c r="B5" t="s">
        <v>131</v>
      </c>
    </row>
    <row r="6" spans="1:5">
      <c r="A6" t="s">
        <v>132</v>
      </c>
      <c r="B6" t="s">
        <v>178</v>
      </c>
      <c r="C6" t="s">
        <v>179</v>
      </c>
      <c r="D6" t="s">
        <v>180</v>
      </c>
      <c r="E6" t="s">
        <v>181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133</v>
      </c>
    </row>
    <row r="13" spans="1:5">
      <c r="B13" t="s">
        <v>131</v>
      </c>
    </row>
    <row r="14" spans="1:5">
      <c r="A14" t="s">
        <v>132</v>
      </c>
      <c r="B14" t="s">
        <v>178</v>
      </c>
      <c r="C14" t="s">
        <v>179</v>
      </c>
      <c r="D14" t="s">
        <v>180</v>
      </c>
      <c r="E14" t="s">
        <v>181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134</v>
      </c>
    </row>
    <row r="21" spans="1:5">
      <c r="B21" t="s">
        <v>131</v>
      </c>
    </row>
    <row r="22" spans="1:5">
      <c r="A22" t="s">
        <v>132</v>
      </c>
      <c r="B22" t="s">
        <v>178</v>
      </c>
      <c r="C22" t="s">
        <v>179</v>
      </c>
      <c r="D22" t="s">
        <v>180</v>
      </c>
      <c r="E22" t="s">
        <v>181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135</v>
      </c>
    </row>
    <row r="29" spans="1:5">
      <c r="B29" t="s">
        <v>131</v>
      </c>
    </row>
    <row r="30" spans="1:5">
      <c r="A30" t="s">
        <v>132</v>
      </c>
      <c r="B30" t="s">
        <v>178</v>
      </c>
      <c r="C30" t="s">
        <v>179</v>
      </c>
      <c r="D30" t="s">
        <v>180</v>
      </c>
      <c r="E30" t="s">
        <v>181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topLeftCell="D1" workbookViewId="0">
      <selection activeCell="O15" sqref="O15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1" t="s">
        <v>5</v>
      </c>
      <c r="E1" t="s">
        <v>83</v>
      </c>
      <c r="L1" s="28" t="s">
        <v>117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149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150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151</v>
      </c>
      <c r="B4" s="1">
        <v>1100000000000</v>
      </c>
      <c r="C4" s="1">
        <v>200000000000</v>
      </c>
      <c r="D4" s="2">
        <v>1</v>
      </c>
      <c r="E4" s="27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152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4">
        <v>330000000000</v>
      </c>
      <c r="H5" s="17">
        <v>-1.2</v>
      </c>
      <c r="I5" s="2">
        <v>2</v>
      </c>
    </row>
    <row r="6" spans="1:9">
      <c r="A6" s="2" t="s">
        <v>153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4">
        <v>330000000000</v>
      </c>
      <c r="H6" s="17">
        <v>-1.2</v>
      </c>
      <c r="I6" s="2">
        <v>2</v>
      </c>
    </row>
    <row r="7" spans="1:9">
      <c r="A7" s="2" t="s">
        <v>154</v>
      </c>
      <c r="B7" s="4">
        <v>1200000000000</v>
      </c>
      <c r="C7" s="1">
        <v>200000000000</v>
      </c>
      <c r="D7" s="2">
        <v>1</v>
      </c>
      <c r="E7" s="27">
        <v>5400000000000</v>
      </c>
      <c r="F7" s="20">
        <v>3</v>
      </c>
      <c r="G7" s="24">
        <v>330000000000</v>
      </c>
      <c r="H7" s="17">
        <v>-1.2</v>
      </c>
      <c r="I7" s="2">
        <v>2</v>
      </c>
    </row>
    <row r="8" spans="1:9">
      <c r="A8" s="2" t="s">
        <v>155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4">
        <v>330000000000</v>
      </c>
      <c r="H8" s="18">
        <v>-1.3</v>
      </c>
      <c r="I8" s="2">
        <v>2</v>
      </c>
    </row>
    <row r="9" spans="1:9">
      <c r="A9" s="2" t="s">
        <v>156</v>
      </c>
      <c r="B9" s="4">
        <v>1300000000000</v>
      </c>
      <c r="C9" s="25">
        <v>300000000000</v>
      </c>
      <c r="D9" s="2">
        <v>1</v>
      </c>
      <c r="E9" s="1">
        <v>5200000000000</v>
      </c>
      <c r="F9" s="19">
        <v>2</v>
      </c>
      <c r="G9" s="24">
        <v>330000000000</v>
      </c>
      <c r="H9" s="18">
        <v>-1.3</v>
      </c>
      <c r="I9" s="2">
        <v>2</v>
      </c>
    </row>
    <row r="10" spans="1:9">
      <c r="A10" s="2" t="s">
        <v>157</v>
      </c>
      <c r="B10" s="4">
        <v>1300000000000</v>
      </c>
      <c r="C10" s="25">
        <v>300000000000</v>
      </c>
      <c r="D10" s="2">
        <v>1</v>
      </c>
      <c r="E10" s="22">
        <v>5300000000000</v>
      </c>
      <c r="F10" s="20">
        <v>3</v>
      </c>
      <c r="G10" s="24">
        <v>330000000000</v>
      </c>
      <c r="H10" s="18">
        <v>-1.3</v>
      </c>
      <c r="I10" s="2">
        <v>2</v>
      </c>
    </row>
    <row r="11" spans="1:9">
      <c r="A11" s="2" t="s">
        <v>158</v>
      </c>
      <c r="B11" s="4">
        <v>1300000000000</v>
      </c>
      <c r="C11" s="25">
        <v>300000000000</v>
      </c>
      <c r="D11" s="2">
        <v>1</v>
      </c>
      <c r="E11" s="27">
        <v>5400000000000</v>
      </c>
      <c r="F11" s="2">
        <v>1</v>
      </c>
      <c r="G11" s="24">
        <v>330000000000</v>
      </c>
      <c r="H11" s="18">
        <v>-1.3</v>
      </c>
      <c r="I11" s="2">
        <v>2</v>
      </c>
    </row>
    <row r="12" spans="1:9">
      <c r="A12" s="2" t="s">
        <v>159</v>
      </c>
      <c r="B12" s="4">
        <v>1300000000000</v>
      </c>
      <c r="C12" s="25">
        <v>300000000000</v>
      </c>
      <c r="D12" s="2">
        <v>1</v>
      </c>
      <c r="E12" s="1">
        <v>5200000000000</v>
      </c>
      <c r="F12" s="19">
        <v>2</v>
      </c>
      <c r="G12" s="26">
        <v>360000000000</v>
      </c>
      <c r="H12" s="18">
        <v>-1.3</v>
      </c>
      <c r="I12" s="2">
        <v>2</v>
      </c>
    </row>
    <row r="13" spans="1:9">
      <c r="A13" s="2" t="s">
        <v>160</v>
      </c>
      <c r="B13" s="4">
        <v>1400000000000</v>
      </c>
      <c r="C13" s="25">
        <v>300000000000</v>
      </c>
      <c r="D13" s="2">
        <v>1</v>
      </c>
      <c r="E13" s="22">
        <v>5300000000000</v>
      </c>
      <c r="F13" s="20">
        <v>3</v>
      </c>
      <c r="G13" s="26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2"/>
  <sheetViews>
    <sheetView zoomScale="70" zoomScaleNormal="70" workbookViewId="0">
      <selection activeCell="J23" sqref="J23"/>
    </sheetView>
  </sheetViews>
  <sheetFormatPr defaultRowHeight="18.75"/>
  <sheetData>
    <row r="1" spans="1:30">
      <c r="A1" t="s">
        <v>182</v>
      </c>
      <c r="D1" t="s">
        <v>121</v>
      </c>
      <c r="N1" t="s">
        <v>183</v>
      </c>
      <c r="T1" t="s">
        <v>184</v>
      </c>
      <c r="AC1" t="s">
        <v>186</v>
      </c>
      <c r="AD1" t="s">
        <v>187</v>
      </c>
    </row>
    <row r="2" spans="1:30">
      <c r="A2" t="s">
        <v>114</v>
      </c>
    </row>
    <row r="3" spans="1:30">
      <c r="A3" t="s">
        <v>104</v>
      </c>
      <c r="D3" t="s">
        <v>114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  <c r="T3" t="s">
        <v>114</v>
      </c>
      <c r="U3" t="s">
        <v>104</v>
      </c>
      <c r="V3" t="s">
        <v>106</v>
      </c>
      <c r="W3" t="s">
        <v>107</v>
      </c>
      <c r="X3" t="s">
        <v>108</v>
      </c>
      <c r="AC3" t="s">
        <v>114</v>
      </c>
      <c r="AD3" t="s">
        <v>106</v>
      </c>
    </row>
    <row r="4" spans="1:30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  <c r="T4">
        <v>3</v>
      </c>
      <c r="U4">
        <v>0</v>
      </c>
      <c r="V4">
        <v>3</v>
      </c>
      <c r="W4">
        <v>0</v>
      </c>
      <c r="X4">
        <v>0</v>
      </c>
      <c r="AC4">
        <v>1100000000000</v>
      </c>
      <c r="AD4">
        <v>5200000000000</v>
      </c>
    </row>
    <row r="5" spans="1:30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  <c r="T5">
        <v>1100000000000</v>
      </c>
      <c r="V5">
        <v>5200000000000</v>
      </c>
      <c r="AC5">
        <v>1200000000000</v>
      </c>
      <c r="AD5">
        <v>5200000000000</v>
      </c>
    </row>
    <row r="6" spans="1:30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119</v>
      </c>
      <c r="T6">
        <v>1200000000000</v>
      </c>
      <c r="V6">
        <v>5300000000000</v>
      </c>
      <c r="AC6">
        <v>1300000000000</v>
      </c>
      <c r="AD6">
        <v>5200000000000</v>
      </c>
    </row>
    <row r="7" spans="1:30">
      <c r="A7" t="s">
        <v>109</v>
      </c>
      <c r="D7">
        <v>1400000000000</v>
      </c>
      <c r="N7" t="s">
        <v>85</v>
      </c>
      <c r="O7" t="s">
        <v>120</v>
      </c>
      <c r="T7">
        <v>1300000000000</v>
      </c>
      <c r="V7">
        <v>5400000000000</v>
      </c>
      <c r="AC7">
        <v>1100000000000</v>
      </c>
      <c r="AD7">
        <v>5300000000000</v>
      </c>
    </row>
    <row r="8" spans="1:30">
      <c r="AC8">
        <v>1200000000000</v>
      </c>
      <c r="AD8">
        <v>5300000000000</v>
      </c>
    </row>
    <row r="9" spans="1:30">
      <c r="AC9">
        <v>1300000000000</v>
      </c>
      <c r="AD9">
        <v>5300000000000</v>
      </c>
    </row>
    <row r="10" spans="1:30">
      <c r="A10" t="s">
        <v>185</v>
      </c>
      <c r="AC10">
        <v>1100000000000</v>
      </c>
      <c r="AD10">
        <v>5400000000000</v>
      </c>
    </row>
    <row r="11" spans="1:30">
      <c r="A11">
        <v>6</v>
      </c>
      <c r="AC11">
        <v>1200000000000</v>
      </c>
      <c r="AD11">
        <v>5400000000000</v>
      </c>
    </row>
    <row r="12" spans="1:30">
      <c r="AC12">
        <v>1300000000000</v>
      </c>
      <c r="AD12">
        <v>5400000000000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tabSelected="1" zoomScale="70" zoomScaleNormal="70" workbookViewId="0">
      <selection activeCell="G22" sqref="G22"/>
    </sheetView>
  </sheetViews>
  <sheetFormatPr defaultRowHeight="18.75"/>
  <sheetData>
    <row r="1" spans="1:19">
      <c r="B1" t="s">
        <v>124</v>
      </c>
      <c r="C1" t="s">
        <v>124</v>
      </c>
      <c r="D1" t="s">
        <v>125</v>
      </c>
      <c r="E1" s="5" t="s">
        <v>27</v>
      </c>
      <c r="F1" t="s">
        <v>199</v>
      </c>
      <c r="G1" t="s">
        <v>198</v>
      </c>
      <c r="H1" t="s">
        <v>197</v>
      </c>
      <c r="I1" t="s">
        <v>217</v>
      </c>
      <c r="L1" t="s">
        <v>218</v>
      </c>
    </row>
    <row r="2" spans="1:19">
      <c r="A2" s="2" t="s">
        <v>12</v>
      </c>
      <c r="B2" s="2" t="s">
        <v>103</v>
      </c>
      <c r="C2" s="2" t="s">
        <v>106</v>
      </c>
      <c r="D2" s="2" t="s">
        <v>109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122</v>
      </c>
      <c r="B3" s="33" t="s">
        <v>115</v>
      </c>
      <c r="C3" s="33" t="s">
        <v>115</v>
      </c>
      <c r="D3" s="2" t="s">
        <v>115</v>
      </c>
      <c r="E3" s="5" t="s">
        <v>21</v>
      </c>
      <c r="F3" t="s">
        <v>69</v>
      </c>
      <c r="G3" t="s">
        <v>7</v>
      </c>
      <c r="H3" s="21" t="s">
        <v>5</v>
      </c>
      <c r="I3" t="s">
        <v>83</v>
      </c>
      <c r="L3" t="s">
        <v>126</v>
      </c>
      <c r="M3" t="s">
        <v>124</v>
      </c>
      <c r="N3" t="s">
        <v>124</v>
      </c>
      <c r="O3" t="s">
        <v>125</v>
      </c>
      <c r="P3" t="s">
        <v>200</v>
      </c>
      <c r="Q3" t="s">
        <v>201</v>
      </c>
      <c r="R3" t="s">
        <v>202</v>
      </c>
      <c r="S3" t="s">
        <v>203</v>
      </c>
    </row>
    <row r="4" spans="1:19">
      <c r="A4" s="2" t="s">
        <v>123</v>
      </c>
      <c r="B4" s="33" t="s">
        <v>115</v>
      </c>
      <c r="C4" s="33" t="s">
        <v>115</v>
      </c>
      <c r="D4" s="2" t="s">
        <v>115</v>
      </c>
      <c r="E4" s="5" t="s">
        <v>28</v>
      </c>
      <c r="F4" t="s">
        <v>33</v>
      </c>
      <c r="G4" t="s">
        <v>79</v>
      </c>
      <c r="H4" t="s">
        <v>33</v>
      </c>
      <c r="I4" t="s">
        <v>120</v>
      </c>
      <c r="L4" t="s">
        <v>127</v>
      </c>
      <c r="M4" t="s">
        <v>114</v>
      </c>
      <c r="N4" t="s">
        <v>106</v>
      </c>
      <c r="O4" t="s">
        <v>109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149</v>
      </c>
      <c r="B5" s="1">
        <v>1100000000000</v>
      </c>
      <c r="C5" s="1">
        <v>5200000000000</v>
      </c>
      <c r="D5" s="2">
        <v>-1.1000000000000001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5200000000000</v>
      </c>
      <c r="O5">
        <v>-1.1000000000000001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150</v>
      </c>
      <c r="B6" s="1">
        <v>1100000000000</v>
      </c>
      <c r="C6" s="22">
        <v>5300000000000</v>
      </c>
      <c r="D6" s="2">
        <v>-1.1000000000000001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5300000000000</v>
      </c>
      <c r="O6">
        <v>-1.1000000000000001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151</v>
      </c>
      <c r="B7" s="1">
        <v>1100000000000</v>
      </c>
      <c r="C7" s="27">
        <v>5400000000000</v>
      </c>
      <c r="D7" s="17">
        <v>-1.2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5400000000000</v>
      </c>
      <c r="O7">
        <v>-1.2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152</v>
      </c>
      <c r="B8" s="4">
        <v>1200000000000</v>
      </c>
      <c r="C8" s="1">
        <v>5200000000000</v>
      </c>
      <c r="D8" s="17">
        <v>-1.2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5200000000000</v>
      </c>
      <c r="O8">
        <v>-1.2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153</v>
      </c>
      <c r="B9" s="4">
        <v>1200000000000</v>
      </c>
      <c r="C9" s="22">
        <v>5300000000000</v>
      </c>
      <c r="D9" s="17">
        <v>-1.2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5300000000000</v>
      </c>
      <c r="O9">
        <v>-1.2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154</v>
      </c>
      <c r="B10" s="4">
        <v>1200000000000</v>
      </c>
      <c r="C10" s="27">
        <v>5400000000000</v>
      </c>
      <c r="D10" s="17">
        <v>-1.2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5400000000000</v>
      </c>
      <c r="O10">
        <v>-1.2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155</v>
      </c>
      <c r="B11" s="4">
        <v>1200000000000</v>
      </c>
      <c r="C11" s="23">
        <v>5400000000000</v>
      </c>
      <c r="D11" s="18">
        <v>-1.3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5400000000000</v>
      </c>
      <c r="O11">
        <v>-1.3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156</v>
      </c>
      <c r="B12" s="4">
        <v>1300000000000</v>
      </c>
      <c r="C12" s="1">
        <v>5200000000000</v>
      </c>
      <c r="D12" s="18">
        <v>-1.3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5200000000000</v>
      </c>
      <c r="O12">
        <v>-1.3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157</v>
      </c>
      <c r="B13" s="4">
        <v>1300000000000</v>
      </c>
      <c r="C13" s="22">
        <v>5300000000000</v>
      </c>
      <c r="D13" s="18">
        <v>-1.3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5300000000000</v>
      </c>
      <c r="O13">
        <v>-1.3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158</v>
      </c>
      <c r="B14" s="4">
        <v>1300000000000</v>
      </c>
      <c r="C14" s="27">
        <v>5400000000000</v>
      </c>
      <c r="D14" s="18">
        <v>-1.3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5400000000000</v>
      </c>
      <c r="O14">
        <v>-1.3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159</v>
      </c>
      <c r="B15" s="4">
        <v>1300000000000</v>
      </c>
      <c r="C15" s="1">
        <v>5200000000000</v>
      </c>
      <c r="D15" s="18">
        <v>-1.3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5200000000000</v>
      </c>
      <c r="O15">
        <v>-1.3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160</v>
      </c>
      <c r="B16" s="4">
        <v>1400000000000</v>
      </c>
      <c r="C16" s="22">
        <v>5300000000000</v>
      </c>
      <c r="D16" s="18">
        <v>-1.3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5300000000000</v>
      </c>
      <c r="O16">
        <v>-1.3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126</v>
      </c>
      <c r="M21" t="s">
        <v>124</v>
      </c>
      <c r="N21" t="s">
        <v>124</v>
      </c>
      <c r="O21" t="s">
        <v>125</v>
      </c>
      <c r="P21" t="s">
        <v>200</v>
      </c>
      <c r="Q21" t="s">
        <v>201</v>
      </c>
      <c r="R21" t="s">
        <v>202</v>
      </c>
      <c r="S21" t="s">
        <v>203</v>
      </c>
      <c r="T21" t="s">
        <v>128</v>
      </c>
      <c r="U21" t="s">
        <v>128</v>
      </c>
      <c r="V21" t="s">
        <v>128</v>
      </c>
      <c r="W21" t="s">
        <v>128</v>
      </c>
      <c r="X21" t="s">
        <v>128</v>
      </c>
      <c r="Y21" t="s">
        <v>128</v>
      </c>
      <c r="Z21" t="s">
        <v>128</v>
      </c>
      <c r="AA21" t="s">
        <v>128</v>
      </c>
      <c r="AB21" t="s">
        <v>128</v>
      </c>
    </row>
    <row r="22" spans="12:28">
      <c r="L22" t="s">
        <v>127</v>
      </c>
      <c r="M22" t="s">
        <v>114</v>
      </c>
      <c r="N22" t="s">
        <v>106</v>
      </c>
      <c r="O22" t="s">
        <v>109</v>
      </c>
      <c r="P22" t="s">
        <v>68</v>
      </c>
      <c r="Q22" t="s">
        <v>74</v>
      </c>
      <c r="R22" t="s">
        <v>84</v>
      </c>
      <c r="S22" t="s">
        <v>85</v>
      </c>
      <c r="T22" t="s">
        <v>188</v>
      </c>
      <c r="U22" t="s">
        <v>189</v>
      </c>
      <c r="V22" t="s">
        <v>190</v>
      </c>
      <c r="W22" t="s">
        <v>191</v>
      </c>
      <c r="X22" t="s">
        <v>192</v>
      </c>
      <c r="Y22" t="s">
        <v>193</v>
      </c>
      <c r="Z22" t="s">
        <v>194</v>
      </c>
      <c r="AA22" t="s">
        <v>195</v>
      </c>
      <c r="AB22" t="s">
        <v>196</v>
      </c>
    </row>
    <row r="23" spans="12:28">
      <c r="L23" t="s">
        <v>15</v>
      </c>
      <c r="M23">
        <v>1100000000000</v>
      </c>
      <c r="N23">
        <v>5200000000000</v>
      </c>
      <c r="O23">
        <v>-1.1000000000000001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16</v>
      </c>
      <c r="M24">
        <v>1100000000000</v>
      </c>
      <c r="N24">
        <v>5300000000000</v>
      </c>
      <c r="O24">
        <v>-1.1000000000000001</v>
      </c>
      <c r="P24">
        <v>0.65100000000000002</v>
      </c>
      <c r="Q24">
        <v>2.23</v>
      </c>
      <c r="R24">
        <v>2.31</v>
      </c>
      <c r="S24">
        <v>0.40100000000000002</v>
      </c>
      <c r="T24">
        <v>0</v>
      </c>
      <c r="U24">
        <v>0</v>
      </c>
      <c r="V24">
        <v>0</v>
      </c>
      <c r="W24">
        <v>1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17</v>
      </c>
      <c r="M25">
        <v>1100000000000</v>
      </c>
      <c r="N25">
        <v>5400000000000</v>
      </c>
      <c r="O25">
        <v>-1.2</v>
      </c>
      <c r="P25">
        <v>0.65300000000000002</v>
      </c>
      <c r="Q25">
        <v>2.13</v>
      </c>
      <c r="R25">
        <v>2.33</v>
      </c>
      <c r="S25">
        <v>0.39800000000000002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</row>
    <row r="26" spans="12:28">
      <c r="L26" t="s">
        <v>18</v>
      </c>
      <c r="M26">
        <v>1200000000000</v>
      </c>
      <c r="N26">
        <v>5200000000000</v>
      </c>
      <c r="O26">
        <v>-1.2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19</v>
      </c>
      <c r="M27">
        <v>1200000000000</v>
      </c>
      <c r="N27">
        <v>5300000000000</v>
      </c>
      <c r="O27">
        <v>-1.2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20</v>
      </c>
      <c r="M28">
        <v>1200000000000</v>
      </c>
      <c r="N28">
        <v>5400000000000</v>
      </c>
      <c r="O28">
        <v>-1.2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0</v>
      </c>
    </row>
    <row r="29" spans="12:28">
      <c r="L29" t="s">
        <v>86</v>
      </c>
      <c r="M29">
        <v>1200000000000</v>
      </c>
      <c r="N29">
        <v>5400000000000</v>
      </c>
      <c r="O29">
        <v>-1.3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0</v>
      </c>
    </row>
    <row r="30" spans="12:28">
      <c r="L30" t="s">
        <v>87</v>
      </c>
      <c r="M30">
        <v>1300000000000</v>
      </c>
      <c r="N30">
        <v>5200000000000</v>
      </c>
      <c r="O30">
        <v>-1.3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2:28">
      <c r="L31" t="s">
        <v>93</v>
      </c>
      <c r="M31">
        <v>1300000000000</v>
      </c>
      <c r="N31">
        <v>5300000000000</v>
      </c>
      <c r="O31">
        <v>-1.3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94</v>
      </c>
      <c r="M32">
        <v>1300000000000</v>
      </c>
      <c r="N32">
        <v>5400000000000</v>
      </c>
      <c r="O32">
        <v>-1.3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1</v>
      </c>
    </row>
    <row r="33" spans="12:28">
      <c r="L33" t="s">
        <v>95</v>
      </c>
      <c r="M33">
        <v>1300000000000</v>
      </c>
      <c r="N33">
        <v>5200000000000</v>
      </c>
      <c r="O33">
        <v>-1.3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</row>
    <row r="34" spans="12:28">
      <c r="L34" t="s">
        <v>96</v>
      </c>
      <c r="M34">
        <v>1400000000000</v>
      </c>
      <c r="N34">
        <v>5300000000000</v>
      </c>
      <c r="O34">
        <v>-1.3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A47A0-4887-48AB-8DDC-6303ACC9B7F9}">
  <sheetPr codeName="Sheet9">
    <tabColor theme="9"/>
  </sheetPr>
  <dimension ref="A6:M56"/>
  <sheetViews>
    <sheetView workbookViewId="0"/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136</v>
      </c>
    </row>
    <row r="7" spans="1:13">
      <c r="B7" t="s">
        <v>137</v>
      </c>
      <c r="C7" t="s">
        <v>137</v>
      </c>
      <c r="D7" t="s">
        <v>137</v>
      </c>
      <c r="F7" t="s">
        <v>138</v>
      </c>
      <c r="G7" t="s">
        <v>138</v>
      </c>
      <c r="H7" t="s">
        <v>139</v>
      </c>
      <c r="I7" t="s">
        <v>139</v>
      </c>
      <c r="J7" t="s">
        <v>139</v>
      </c>
      <c r="K7" t="s">
        <v>139</v>
      </c>
      <c r="L7" t="s">
        <v>139</v>
      </c>
      <c r="M7" t="s">
        <v>138</v>
      </c>
    </row>
    <row r="8" spans="1:13">
      <c r="F8" t="s">
        <v>140</v>
      </c>
      <c r="G8" t="s">
        <v>141</v>
      </c>
      <c r="H8" t="s">
        <v>142</v>
      </c>
      <c r="I8" t="s">
        <v>140</v>
      </c>
      <c r="J8" t="s">
        <v>143</v>
      </c>
      <c r="K8" t="s">
        <v>144</v>
      </c>
      <c r="L8" t="s">
        <v>145</v>
      </c>
      <c r="M8" t="s">
        <v>146</v>
      </c>
    </row>
    <row r="9" spans="1:13">
      <c r="A9" t="s">
        <v>137</v>
      </c>
      <c r="F9" t="s">
        <v>147</v>
      </c>
      <c r="G9" t="s">
        <v>147</v>
      </c>
      <c r="H9" t="s">
        <v>147</v>
      </c>
      <c r="I9" t="s">
        <v>148</v>
      </c>
      <c r="J9" t="s">
        <v>147</v>
      </c>
      <c r="K9" t="s">
        <v>148</v>
      </c>
      <c r="L9" t="s">
        <v>147</v>
      </c>
      <c r="M9" t="s">
        <v>147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149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150</v>
      </c>
      <c r="F12" s="1">
        <v>1100000000000</v>
      </c>
      <c r="G12" s="1">
        <v>200000000000</v>
      </c>
      <c r="H12" s="2">
        <v>1</v>
      </c>
      <c r="I12" s="22">
        <v>5300000000000</v>
      </c>
      <c r="J12" s="19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151</v>
      </c>
      <c r="F13" s="1">
        <v>1100000000000</v>
      </c>
      <c r="G13" s="1">
        <v>200000000000</v>
      </c>
      <c r="H13" s="2">
        <v>1</v>
      </c>
      <c r="I13" s="27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152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4">
        <v>330000000000</v>
      </c>
      <c r="L14" s="17">
        <v>-1.2</v>
      </c>
      <c r="M14" s="2">
        <v>2</v>
      </c>
    </row>
    <row r="15" spans="1:13">
      <c r="E15" s="2" t="s">
        <v>153</v>
      </c>
      <c r="F15" s="4">
        <v>1200000000000</v>
      </c>
      <c r="G15" s="1">
        <v>200000000000</v>
      </c>
      <c r="H15" s="2">
        <v>1</v>
      </c>
      <c r="I15" s="22">
        <v>5300000000000</v>
      </c>
      <c r="J15" s="19">
        <v>2</v>
      </c>
      <c r="K15" s="24">
        <v>330000000000</v>
      </c>
      <c r="L15" s="17">
        <v>-1.2</v>
      </c>
      <c r="M15" s="2">
        <v>2</v>
      </c>
    </row>
    <row r="16" spans="1:13">
      <c r="E16" s="2" t="s">
        <v>154</v>
      </c>
      <c r="F16" s="4">
        <v>1200000000000</v>
      </c>
      <c r="G16" s="1">
        <v>200000000000</v>
      </c>
      <c r="H16" s="2">
        <v>1</v>
      </c>
      <c r="I16" s="27">
        <v>5400000000000</v>
      </c>
      <c r="J16" s="20">
        <v>3</v>
      </c>
      <c r="K16" s="24">
        <v>330000000000</v>
      </c>
      <c r="L16" s="17">
        <v>-1.2</v>
      </c>
      <c r="M16" s="2">
        <v>2</v>
      </c>
    </row>
    <row r="17" spans="1:13">
      <c r="E17" s="2" t="s">
        <v>155</v>
      </c>
      <c r="F17" s="4">
        <v>1200000000000</v>
      </c>
      <c r="G17" s="1">
        <v>200000000000</v>
      </c>
      <c r="H17" s="2">
        <v>1</v>
      </c>
      <c r="I17" s="23">
        <v>5400000000000</v>
      </c>
      <c r="J17" s="2">
        <v>1</v>
      </c>
      <c r="K17" s="24">
        <v>330000000000</v>
      </c>
      <c r="L17" s="18">
        <v>-1.3</v>
      </c>
      <c r="M17" s="2">
        <v>2</v>
      </c>
    </row>
    <row r="18" spans="1:13">
      <c r="E18" s="2" t="s">
        <v>156</v>
      </c>
      <c r="F18" s="4">
        <v>1300000000000</v>
      </c>
      <c r="G18" s="25">
        <v>300000000000</v>
      </c>
      <c r="H18" s="2">
        <v>1</v>
      </c>
      <c r="I18" s="1">
        <v>5200000000000</v>
      </c>
      <c r="J18" s="19">
        <v>2</v>
      </c>
      <c r="K18" s="24">
        <v>330000000000</v>
      </c>
      <c r="L18" s="18">
        <v>-1.3</v>
      </c>
      <c r="M18" s="2">
        <v>2</v>
      </c>
    </row>
    <row r="19" spans="1:13">
      <c r="E19" s="2" t="s">
        <v>157</v>
      </c>
      <c r="F19" s="4">
        <v>1300000000000</v>
      </c>
      <c r="G19" s="25">
        <v>300000000000</v>
      </c>
      <c r="H19" s="2">
        <v>1</v>
      </c>
      <c r="I19" s="22">
        <v>5300000000000</v>
      </c>
      <c r="J19" s="20">
        <v>3</v>
      </c>
      <c r="K19" s="24">
        <v>330000000000</v>
      </c>
      <c r="L19" s="18">
        <v>-1.3</v>
      </c>
      <c r="M19" s="2">
        <v>2</v>
      </c>
    </row>
    <row r="20" spans="1:13">
      <c r="E20" s="2" t="s">
        <v>158</v>
      </c>
      <c r="F20" s="4">
        <v>1300000000000</v>
      </c>
      <c r="G20" s="25">
        <v>300000000000</v>
      </c>
      <c r="H20" s="2">
        <v>1</v>
      </c>
      <c r="I20" s="27">
        <v>5400000000000</v>
      </c>
      <c r="J20" s="2">
        <v>1</v>
      </c>
      <c r="K20" s="24">
        <v>330000000000</v>
      </c>
      <c r="L20" s="18">
        <v>-1.3</v>
      </c>
      <c r="M20" s="2">
        <v>2</v>
      </c>
    </row>
    <row r="21" spans="1:13">
      <c r="E21" s="2" t="s">
        <v>159</v>
      </c>
      <c r="F21" s="4">
        <v>1300000000000</v>
      </c>
      <c r="G21" s="25">
        <v>300000000000</v>
      </c>
      <c r="H21" s="2">
        <v>1</v>
      </c>
      <c r="I21" s="1">
        <v>5200000000000</v>
      </c>
      <c r="J21" s="19">
        <v>2</v>
      </c>
      <c r="K21" s="26">
        <v>360000000000</v>
      </c>
      <c r="L21" s="18">
        <v>-1.3</v>
      </c>
      <c r="M21" s="2">
        <v>2</v>
      </c>
    </row>
    <row r="22" spans="1:13">
      <c r="E22" s="2" t="s">
        <v>160</v>
      </c>
      <c r="F22" s="4">
        <v>1400000000000</v>
      </c>
      <c r="G22" s="25">
        <v>300000000000</v>
      </c>
      <c r="H22" s="2">
        <v>1</v>
      </c>
      <c r="I22" s="22">
        <v>5300000000000</v>
      </c>
      <c r="J22" s="20">
        <v>3</v>
      </c>
      <c r="K22" s="26">
        <v>360000000000</v>
      </c>
      <c r="L22" s="18">
        <v>-1.3</v>
      </c>
      <c r="M22" s="2">
        <v>2</v>
      </c>
    </row>
    <row r="25" spans="1:13">
      <c r="E25" t="s">
        <v>175</v>
      </c>
    </row>
    <row r="26" spans="1:13">
      <c r="B26" t="s">
        <v>137</v>
      </c>
      <c r="C26" t="s">
        <v>137</v>
      </c>
      <c r="D26" t="s">
        <v>137</v>
      </c>
      <c r="F26" t="s">
        <v>138</v>
      </c>
      <c r="G26" t="s">
        <v>138</v>
      </c>
      <c r="H26" t="s">
        <v>139</v>
      </c>
      <c r="I26" t="s">
        <v>139</v>
      </c>
      <c r="J26" t="s">
        <v>139</v>
      </c>
      <c r="K26" t="s">
        <v>139</v>
      </c>
      <c r="L26" t="s">
        <v>139</v>
      </c>
      <c r="M26" t="s">
        <v>138</v>
      </c>
    </row>
    <row r="27" spans="1:13">
      <c r="F27" t="s">
        <v>140</v>
      </c>
      <c r="G27" t="s">
        <v>141</v>
      </c>
      <c r="H27" t="s">
        <v>142</v>
      </c>
      <c r="I27" t="s">
        <v>140</v>
      </c>
      <c r="J27" t="s">
        <v>143</v>
      </c>
      <c r="K27" t="s">
        <v>144</v>
      </c>
      <c r="L27" t="s">
        <v>145</v>
      </c>
      <c r="M27" t="s">
        <v>146</v>
      </c>
    </row>
    <row r="28" spans="1:13">
      <c r="A28" t="s">
        <v>137</v>
      </c>
      <c r="F28" t="s">
        <v>147</v>
      </c>
      <c r="G28" t="s">
        <v>147</v>
      </c>
      <c r="H28" t="s">
        <v>147</v>
      </c>
      <c r="I28" t="s">
        <v>148</v>
      </c>
      <c r="J28" t="s">
        <v>147</v>
      </c>
      <c r="K28" t="s">
        <v>148</v>
      </c>
      <c r="L28" t="s">
        <v>147</v>
      </c>
      <c r="M28" t="s">
        <v>147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18" t="s">
        <v>113</v>
      </c>
      <c r="F30" s="1">
        <v>1100000000000</v>
      </c>
      <c r="G30" s="1">
        <v>200000000000</v>
      </c>
      <c r="H30" s="34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34">
        <v>20</v>
      </c>
    </row>
    <row r="31" spans="1:13">
      <c r="E31" s="18" t="s">
        <v>16</v>
      </c>
      <c r="F31" s="1">
        <v>1100000000000</v>
      </c>
      <c r="G31" s="1">
        <v>200000000000</v>
      </c>
      <c r="H31" s="34">
        <v>10</v>
      </c>
      <c r="I31" s="22">
        <v>5300000000000</v>
      </c>
      <c r="J31" s="19">
        <v>2</v>
      </c>
      <c r="K31">
        <f t="shared" si="0"/>
        <v>311000000000</v>
      </c>
      <c r="L31" s="2">
        <v>-1.1000000000000001</v>
      </c>
      <c r="M31" s="34">
        <v>20</v>
      </c>
    </row>
    <row r="32" spans="1:13">
      <c r="E32" s="18" t="s">
        <v>17</v>
      </c>
      <c r="F32" s="1">
        <v>1100000000000</v>
      </c>
      <c r="G32" s="1">
        <v>200000000000</v>
      </c>
      <c r="H32" s="34">
        <v>10</v>
      </c>
      <c r="I32" s="27">
        <v>5400000000000</v>
      </c>
      <c r="J32">
        <v>3</v>
      </c>
      <c r="K32">
        <f t="shared" si="0"/>
        <v>311000000000</v>
      </c>
      <c r="L32" s="17">
        <v>-1.2</v>
      </c>
      <c r="M32" s="34">
        <v>20</v>
      </c>
    </row>
    <row r="33" spans="5:13">
      <c r="E33" s="2" t="s">
        <v>149</v>
      </c>
      <c r="F33" s="1">
        <v>1100000000000</v>
      </c>
      <c r="G33" s="1">
        <v>200000000000</v>
      </c>
      <c r="H33" s="34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34">
        <v>20</v>
      </c>
    </row>
    <row r="34" spans="5:13">
      <c r="E34" s="2" t="s">
        <v>150</v>
      </c>
      <c r="F34" s="1">
        <v>1100000000000</v>
      </c>
      <c r="G34" s="1">
        <v>200000000000</v>
      </c>
      <c r="H34" s="34">
        <v>10</v>
      </c>
      <c r="I34" s="22">
        <v>5300000000000</v>
      </c>
      <c r="J34" s="19">
        <v>2</v>
      </c>
      <c r="K34">
        <f t="shared" si="0"/>
        <v>311000000000</v>
      </c>
      <c r="L34" s="2">
        <v>-1.1000000000000001</v>
      </c>
      <c r="M34" s="34">
        <v>20</v>
      </c>
    </row>
    <row r="35" spans="5:13">
      <c r="E35" s="2" t="s">
        <v>151</v>
      </c>
      <c r="F35" s="1">
        <v>1100000000000</v>
      </c>
      <c r="G35" s="1">
        <v>200000000000</v>
      </c>
      <c r="H35" s="34">
        <v>10</v>
      </c>
      <c r="I35" s="27">
        <v>5400000000000</v>
      </c>
      <c r="J35">
        <v>3</v>
      </c>
      <c r="K35">
        <f t="shared" si="0"/>
        <v>311000000000</v>
      </c>
      <c r="L35" s="17">
        <v>-1.2</v>
      </c>
      <c r="M35" s="34">
        <v>20</v>
      </c>
    </row>
    <row r="36" spans="5:13">
      <c r="E36" s="2" t="s">
        <v>152</v>
      </c>
      <c r="F36" s="4">
        <v>1200000000000</v>
      </c>
      <c r="G36" s="1">
        <v>200000000000</v>
      </c>
      <c r="H36" s="34">
        <v>10</v>
      </c>
      <c r="I36" s="1">
        <v>5200000000000</v>
      </c>
      <c r="J36" s="2">
        <v>1</v>
      </c>
      <c r="K36" s="24">
        <v>330000000000</v>
      </c>
      <c r="L36" s="17">
        <v>-1.2</v>
      </c>
      <c r="M36" s="34">
        <v>20</v>
      </c>
    </row>
    <row r="37" spans="5:13">
      <c r="E37" s="2" t="s">
        <v>153</v>
      </c>
      <c r="F37" s="4">
        <v>1200000000000</v>
      </c>
      <c r="G37" s="1">
        <v>200000000000</v>
      </c>
      <c r="H37" s="34">
        <v>10</v>
      </c>
      <c r="I37" s="22">
        <v>5300000000000</v>
      </c>
      <c r="J37" s="19">
        <v>2</v>
      </c>
      <c r="K37" s="24">
        <v>330000000000</v>
      </c>
      <c r="L37" s="17">
        <v>-1.2</v>
      </c>
      <c r="M37" s="34">
        <v>20</v>
      </c>
    </row>
    <row r="38" spans="5:13">
      <c r="E38" s="2" t="s">
        <v>154</v>
      </c>
      <c r="F38" s="4">
        <v>1200000000000</v>
      </c>
      <c r="G38" s="1">
        <v>200000000000</v>
      </c>
      <c r="H38" s="34">
        <v>10</v>
      </c>
      <c r="I38" s="27">
        <v>5400000000000</v>
      </c>
      <c r="J38" s="20">
        <v>3</v>
      </c>
      <c r="K38" s="24">
        <v>330000000000</v>
      </c>
      <c r="L38" s="17">
        <v>-1.2</v>
      </c>
      <c r="M38" s="34">
        <v>20</v>
      </c>
    </row>
    <row r="39" spans="5:13">
      <c r="E39" s="2" t="s">
        <v>155</v>
      </c>
      <c r="F39" s="4">
        <v>1200000000000</v>
      </c>
      <c r="G39" s="1">
        <v>200000000000</v>
      </c>
      <c r="H39" s="34">
        <v>10</v>
      </c>
      <c r="I39" s="23">
        <v>5400000000000</v>
      </c>
      <c r="J39" s="2">
        <v>1</v>
      </c>
      <c r="K39" s="24">
        <v>330000000000</v>
      </c>
      <c r="L39" s="18">
        <v>-1.3</v>
      </c>
      <c r="M39" s="34">
        <v>20</v>
      </c>
    </row>
    <row r="40" spans="5:13">
      <c r="E40" s="2" t="s">
        <v>156</v>
      </c>
      <c r="F40" s="4">
        <v>1300000000000</v>
      </c>
      <c r="G40" s="25">
        <v>300000000000</v>
      </c>
      <c r="H40" s="34">
        <v>10</v>
      </c>
      <c r="I40" s="1">
        <v>5200000000000</v>
      </c>
      <c r="J40" s="19">
        <v>2</v>
      </c>
      <c r="K40" s="24">
        <v>330000000000</v>
      </c>
      <c r="L40" s="18">
        <v>-1.3</v>
      </c>
      <c r="M40" s="34">
        <v>20</v>
      </c>
    </row>
    <row r="41" spans="5:13">
      <c r="E41" s="2" t="s">
        <v>157</v>
      </c>
      <c r="F41" s="4">
        <v>1300000000000</v>
      </c>
      <c r="G41" s="25">
        <v>300000000000</v>
      </c>
      <c r="H41" s="34">
        <v>10</v>
      </c>
      <c r="I41" s="22">
        <v>5300000000000</v>
      </c>
      <c r="J41" s="20">
        <v>3</v>
      </c>
      <c r="K41" s="24">
        <v>330000000000</v>
      </c>
      <c r="L41" s="18">
        <v>-1.3</v>
      </c>
      <c r="M41" s="34">
        <v>20</v>
      </c>
    </row>
    <row r="42" spans="5:13">
      <c r="E42" s="2" t="s">
        <v>158</v>
      </c>
      <c r="F42" s="4">
        <v>1300000000000</v>
      </c>
      <c r="G42" s="25">
        <v>300000000000</v>
      </c>
      <c r="H42" s="34">
        <v>10</v>
      </c>
      <c r="I42" s="27">
        <v>5400000000000</v>
      </c>
      <c r="J42" s="2">
        <v>1</v>
      </c>
      <c r="K42" s="24">
        <v>330000000000</v>
      </c>
      <c r="L42" s="18">
        <v>-1.3</v>
      </c>
      <c r="M42" s="34">
        <v>20</v>
      </c>
    </row>
    <row r="43" spans="5:13">
      <c r="E43" s="2" t="s">
        <v>159</v>
      </c>
      <c r="F43" s="4">
        <v>1300000000000</v>
      </c>
      <c r="G43" s="25">
        <v>300000000000</v>
      </c>
      <c r="H43" s="34">
        <v>10</v>
      </c>
      <c r="I43" s="1">
        <v>5200000000000</v>
      </c>
      <c r="J43" s="19">
        <v>2</v>
      </c>
      <c r="K43" s="26">
        <v>360000000000</v>
      </c>
      <c r="L43" s="18">
        <v>-1.3</v>
      </c>
      <c r="M43" s="34">
        <v>20</v>
      </c>
    </row>
    <row r="44" spans="5:13">
      <c r="E44" s="2" t="s">
        <v>160</v>
      </c>
      <c r="F44" s="4">
        <v>1400000000000</v>
      </c>
      <c r="G44" s="25">
        <v>300000000000</v>
      </c>
      <c r="H44" s="34">
        <v>10</v>
      </c>
      <c r="I44" s="22">
        <v>5300000000000</v>
      </c>
      <c r="J44" s="20">
        <v>3</v>
      </c>
      <c r="K44" s="26">
        <v>360000000000</v>
      </c>
      <c r="L44" s="18">
        <v>-1.3</v>
      </c>
      <c r="M44" s="34">
        <v>20</v>
      </c>
    </row>
    <row r="45" spans="5:13">
      <c r="E45" s="18" t="s">
        <v>161</v>
      </c>
      <c r="F45" s="1">
        <v>1100000000000</v>
      </c>
      <c r="G45" s="1">
        <v>200000000000</v>
      </c>
      <c r="H45" s="34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34">
        <v>20</v>
      </c>
    </row>
    <row r="46" spans="5:13">
      <c r="E46" s="18" t="s">
        <v>162</v>
      </c>
      <c r="F46" s="1">
        <v>1100000000000</v>
      </c>
      <c r="G46" s="1">
        <v>200000000000</v>
      </c>
      <c r="H46" s="34">
        <v>10</v>
      </c>
      <c r="I46" s="22">
        <v>5300000000000</v>
      </c>
      <c r="J46" s="19">
        <v>2</v>
      </c>
      <c r="K46">
        <f>311000000000</f>
        <v>311000000000</v>
      </c>
      <c r="L46" s="2">
        <v>-1.1000000000000001</v>
      </c>
      <c r="M46" s="34">
        <v>20</v>
      </c>
    </row>
    <row r="47" spans="5:13">
      <c r="E47" s="18" t="s">
        <v>163</v>
      </c>
      <c r="F47" s="1">
        <v>1100000000000</v>
      </c>
      <c r="G47" s="1">
        <v>200000000000</v>
      </c>
      <c r="H47" s="34">
        <v>10</v>
      </c>
      <c r="I47" s="27">
        <v>5400000000000</v>
      </c>
      <c r="J47">
        <v>3</v>
      </c>
      <c r="K47">
        <f>311000000000</f>
        <v>311000000000</v>
      </c>
      <c r="L47" s="17">
        <v>-1.2</v>
      </c>
      <c r="M47" s="34">
        <v>20</v>
      </c>
    </row>
    <row r="48" spans="5:13">
      <c r="E48" s="18" t="s">
        <v>164</v>
      </c>
      <c r="F48" s="4">
        <v>1200000000000</v>
      </c>
      <c r="G48" s="1">
        <v>200000000000</v>
      </c>
      <c r="H48" s="34">
        <v>10</v>
      </c>
      <c r="I48" s="1">
        <v>5200000000000</v>
      </c>
      <c r="J48" s="2">
        <v>1</v>
      </c>
      <c r="K48" s="24">
        <v>330000000000</v>
      </c>
      <c r="L48" s="17">
        <v>-1.2</v>
      </c>
      <c r="M48" s="34">
        <v>20</v>
      </c>
    </row>
    <row r="49" spans="5:13">
      <c r="E49" s="18" t="s">
        <v>165</v>
      </c>
      <c r="F49" s="4">
        <v>1200000000000</v>
      </c>
      <c r="G49" s="1">
        <v>200000000000</v>
      </c>
      <c r="H49" s="34">
        <v>10</v>
      </c>
      <c r="I49" s="22">
        <v>5300000000000</v>
      </c>
      <c r="J49" s="19">
        <v>2</v>
      </c>
      <c r="K49" s="24">
        <v>330000000000</v>
      </c>
      <c r="L49" s="17">
        <v>-1.2</v>
      </c>
      <c r="M49" s="34">
        <v>20</v>
      </c>
    </row>
    <row r="50" spans="5:13">
      <c r="E50" s="18" t="s">
        <v>166</v>
      </c>
      <c r="F50" s="4">
        <v>1200000000000</v>
      </c>
      <c r="G50" s="1">
        <v>200000000000</v>
      </c>
      <c r="H50" s="34">
        <v>10</v>
      </c>
      <c r="I50" s="27">
        <v>5400000000000</v>
      </c>
      <c r="J50" s="20">
        <v>3</v>
      </c>
      <c r="K50" s="24">
        <v>330000000000</v>
      </c>
      <c r="L50" s="17">
        <v>-1.2</v>
      </c>
      <c r="M50" s="34">
        <v>20</v>
      </c>
    </row>
    <row r="51" spans="5:13">
      <c r="E51" s="18" t="s">
        <v>167</v>
      </c>
      <c r="F51" s="4">
        <v>1200000000000</v>
      </c>
      <c r="G51" s="1">
        <v>200000000000</v>
      </c>
      <c r="H51" s="34">
        <v>10</v>
      </c>
      <c r="I51" s="23">
        <v>5400000000000</v>
      </c>
      <c r="J51" s="2">
        <v>1</v>
      </c>
      <c r="K51" s="24">
        <v>330000000000</v>
      </c>
      <c r="L51" s="18">
        <v>-1.3</v>
      </c>
      <c r="M51" s="34">
        <v>20</v>
      </c>
    </row>
    <row r="52" spans="5:13">
      <c r="E52" s="18" t="s">
        <v>168</v>
      </c>
      <c r="F52" s="4">
        <v>1300000000000</v>
      </c>
      <c r="G52" s="25">
        <v>300000000000</v>
      </c>
      <c r="H52" s="34">
        <v>10</v>
      </c>
      <c r="I52" s="1">
        <v>5200000000000</v>
      </c>
      <c r="J52" s="19">
        <v>2</v>
      </c>
      <c r="K52" s="24">
        <v>330000000000</v>
      </c>
      <c r="L52" s="18">
        <v>-1.3</v>
      </c>
      <c r="M52" s="34">
        <v>20</v>
      </c>
    </row>
    <row r="53" spans="5:13">
      <c r="E53" s="18" t="s">
        <v>169</v>
      </c>
      <c r="F53" s="4">
        <v>1300000000000</v>
      </c>
      <c r="G53" s="25">
        <v>300000000000</v>
      </c>
      <c r="H53" s="34">
        <v>10</v>
      </c>
      <c r="I53" s="22">
        <v>5300000000000</v>
      </c>
      <c r="J53" s="20">
        <v>3</v>
      </c>
      <c r="K53" s="24">
        <v>330000000000</v>
      </c>
      <c r="L53" s="18">
        <v>-1.3</v>
      </c>
      <c r="M53" s="34">
        <v>20</v>
      </c>
    </row>
    <row r="54" spans="5:13">
      <c r="E54" s="18" t="s">
        <v>170</v>
      </c>
      <c r="F54" s="4">
        <v>1300000000000</v>
      </c>
      <c r="G54" s="25">
        <v>300000000000</v>
      </c>
      <c r="H54" s="34">
        <v>10</v>
      </c>
      <c r="I54" s="27">
        <v>5400000000000</v>
      </c>
      <c r="J54" s="2">
        <v>1</v>
      </c>
      <c r="K54" s="24">
        <v>330000000000</v>
      </c>
      <c r="L54" s="18">
        <v>-1.3</v>
      </c>
      <c r="M54" s="34">
        <v>20</v>
      </c>
    </row>
    <row r="55" spans="5:13">
      <c r="E55" s="18" t="s">
        <v>171</v>
      </c>
      <c r="F55" s="4">
        <v>1300000000000</v>
      </c>
      <c r="G55" s="25">
        <v>300000000000</v>
      </c>
      <c r="H55" s="34">
        <v>10</v>
      </c>
      <c r="I55" s="1">
        <v>5200000000000</v>
      </c>
      <c r="J55" s="19">
        <v>2</v>
      </c>
      <c r="K55" s="26">
        <v>360000000000</v>
      </c>
      <c r="L55" s="18">
        <v>-1.3</v>
      </c>
      <c r="M55" s="34">
        <v>20</v>
      </c>
    </row>
    <row r="56" spans="5:13">
      <c r="E56" s="18" t="s">
        <v>172</v>
      </c>
      <c r="F56" s="4">
        <v>1400000000000</v>
      </c>
      <c r="G56" s="25">
        <v>300000000000</v>
      </c>
      <c r="H56" s="34">
        <v>10</v>
      </c>
      <c r="I56" s="22">
        <v>5300000000000</v>
      </c>
      <c r="J56" s="20">
        <v>3</v>
      </c>
      <c r="K56" s="26">
        <v>360000000000</v>
      </c>
      <c r="L56" s="18">
        <v>-1.3</v>
      </c>
      <c r="M56" s="34">
        <v>20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グラフ作成</vt:lpstr>
      <vt:lpstr>設定ファイル</vt:lpstr>
      <vt:lpstr>条件表</vt:lpstr>
      <vt:lpstr>DataTable</vt:lpstr>
      <vt:lpstr>DataTable_bck</vt:lpstr>
      <vt:lpstr>サマリ</vt:lpstr>
      <vt:lpstr>BCK_サマリ</vt:lpstr>
      <vt:lpstr>散布図</vt:lpstr>
      <vt:lpstr>BCK_散布図</vt:lpstr>
      <vt:lpstr>例_散布図</vt:lpstr>
      <vt:lpstr>work_template</vt:lpstr>
      <vt:lpstr>work_jyoken</vt:lpstr>
      <vt:lpstr>work_graph</vt:lpstr>
      <vt:lpstr>work_scatter1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2021-08-26T10:35:44Z</dcterms:modified>
</cp:coreProperties>
</file>