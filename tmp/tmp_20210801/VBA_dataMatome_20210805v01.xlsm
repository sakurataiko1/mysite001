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kuroda\work\00_TCAD\20210701_PDsim\第1要望_自動グラフ作成_Excelマクロ\"/>
    </mc:Choice>
  </mc:AlternateContent>
  <xr:revisionPtr revIDLastSave="0" documentId="13_ncr:1_{9C18F9EF-5440-412C-A942-4197AF5F181D}" xr6:coauthVersionLast="47" xr6:coauthVersionMax="47" xr10:uidLastSave="{00000000-0000-0000-0000-000000000000}"/>
  <bookViews>
    <workbookView xWindow="-120" yWindow="-120" windowWidth="24240" windowHeight="13140" activeTab="3" xr2:uid="{00000000-000D-0000-FFFF-FFFF00000000}"/>
  </bookViews>
  <sheets>
    <sheet name="グラフ作成" sheetId="6" r:id="rId1"/>
    <sheet name="設定ファイル" sheetId="1" r:id="rId2"/>
    <sheet name="条件表" sheetId="3" r:id="rId3"/>
    <sheet name="DataTable" sheetId="2" r:id="rId4"/>
    <sheet name="サマリ" sheetId="10" r:id="rId5"/>
    <sheet name="散布図" sheetId="8" r:id="rId6"/>
    <sheet name="結果グラフ_サマリ" sheetId="5" r:id="rId7"/>
    <sheet name="例_散布図" sheetId="4" r:id="rId8"/>
    <sheet name="work_graph" sheetId="7" r:id="rId9"/>
    <sheet name="Sheet1" sheetId="9" r:id="rId10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kuroda</author>
  </authors>
  <commentList>
    <comment ref="B12" authorId="0" shapeId="0" xr:uid="{97854794-DABE-4C9E-B8BD-9305CCEC4905}">
      <text>
        <r>
          <rPr>
            <sz val="9"/>
            <color indexed="81"/>
            <rFont val="MS P ゴシック"/>
            <family val="3"/>
            <charset val="128"/>
          </rPr>
          <t>■ X軸　コンボボックス
条件表から、
条件振りしている項目
条件表読み込みボタンが
押された時点で設定する
CWL01
DSR
など</t>
        </r>
      </text>
    </comment>
    <comment ref="E12" authorId="0" shapeId="0" xr:uid="{F704F1DE-DCAC-4ABC-AE61-C5D1E3FC83C3}">
      <text>
        <r>
          <rPr>
            <sz val="9"/>
            <color indexed="81"/>
            <rFont val="MS P ゴシック"/>
            <family val="3"/>
            <charset val="128"/>
          </rPr>
          <t xml:space="preserve">■Y軸　べたの表か、リストボックス
※設定ファイル登録ボタン押下時に選択肢が書き出される
・設定ファイルから　特性名
・ボタンでなく、リストボックス
　の複数選択でもいいかも。
・例　選択肢
　SRprot
  NSA
  PD_L
  PD_R
  …
  Qs
</t>
        </r>
      </text>
    </comment>
    <comment ref="J13" authorId="0" shapeId="0" xr:uid="{E390A1A0-4CA7-4BA4-A982-06265BC66EB5}">
      <text>
        <r>
          <rPr>
            <sz val="9"/>
            <color indexed="81"/>
            <rFont val="MS P ゴシック"/>
            <family val="3"/>
            <charset val="128"/>
          </rPr>
          <t xml:space="preserve">
※条件表登録ボタン押下時に選択肢が書き出される
</t>
        </r>
      </text>
    </comment>
  </commentList>
</comments>
</file>

<file path=xl/sharedStrings.xml><?xml version="1.0" encoding="utf-8"?>
<sst xmlns="http://schemas.openxmlformats.org/spreadsheetml/2006/main" count="230" uniqueCount="136">
  <si>
    <t>特性項目</t>
    <rPh sb="0" eb="2">
      <t>トクセイ</t>
    </rPh>
    <rPh sb="2" eb="4">
      <t>コウモク</t>
    </rPh>
    <phoneticPr fontId="1"/>
  </si>
  <si>
    <t>指標(上限)</t>
    <rPh sb="0" eb="2">
      <t>シヒョウ</t>
    </rPh>
    <rPh sb="3" eb="5">
      <t>ジョウゲン</t>
    </rPh>
    <phoneticPr fontId="1"/>
  </si>
  <si>
    <t>範囲</t>
    <rPh sb="0" eb="2">
      <t>ハンイ</t>
    </rPh>
    <phoneticPr fontId="1"/>
  </si>
  <si>
    <t>指標(下限)</t>
    <rPh sb="0" eb="2">
      <t>シヒョウ</t>
    </rPh>
    <rPh sb="3" eb="4">
      <t>シタ</t>
    </rPh>
    <rPh sb="4" eb="5">
      <t>カギ</t>
    </rPh>
    <phoneticPr fontId="1"/>
  </si>
  <si>
    <t>=</t>
    <phoneticPr fontId="1"/>
  </si>
  <si>
    <t>SRpot</t>
    <phoneticPr fontId="1"/>
  </si>
  <si>
    <t>&gt;</t>
    <phoneticPr fontId="1"/>
  </si>
  <si>
    <t>Qs</t>
    <phoneticPr fontId="1"/>
  </si>
  <si>
    <t>tokuA</t>
    <phoneticPr fontId="1"/>
  </si>
  <si>
    <t>TGoff/TGon/Qs</t>
    <phoneticPr fontId="1"/>
  </si>
  <si>
    <t>TGoff</t>
    <phoneticPr fontId="1"/>
  </si>
  <si>
    <t>TGon</t>
    <phoneticPr fontId="1"/>
  </si>
  <si>
    <t>グラフ(上限)</t>
    <rPh sb="4" eb="6">
      <t>ジョウゲン</t>
    </rPh>
    <phoneticPr fontId="1"/>
  </si>
  <si>
    <t>グラフ(下限)</t>
    <rPh sb="4" eb="5">
      <t>シタ</t>
    </rPh>
    <rPh sb="5" eb="6">
      <t>キリ</t>
    </rPh>
    <phoneticPr fontId="1"/>
  </si>
  <si>
    <t>グラフ(スケール)</t>
    <phoneticPr fontId="1"/>
  </si>
  <si>
    <t>対数</t>
    <rPh sb="0" eb="2">
      <t>タイスウ</t>
    </rPh>
    <phoneticPr fontId="1"/>
  </si>
  <si>
    <t>NAME</t>
    <phoneticPr fontId="1"/>
  </si>
  <si>
    <t>matA</t>
    <phoneticPr fontId="1"/>
  </si>
  <si>
    <t>matB</t>
    <phoneticPr fontId="1"/>
  </si>
  <si>
    <t>CWL1</t>
    <phoneticPr fontId="1"/>
  </si>
  <si>
    <t>e12</t>
    <phoneticPr fontId="1"/>
  </si>
  <si>
    <t>e11</t>
    <phoneticPr fontId="1"/>
  </si>
  <si>
    <t>matD</t>
    <phoneticPr fontId="1"/>
  </si>
  <si>
    <t>matE</t>
    <phoneticPr fontId="1"/>
  </si>
  <si>
    <t>imp01</t>
  </si>
  <si>
    <t>imp02</t>
  </si>
  <si>
    <t>imp03</t>
  </si>
  <si>
    <t>imp04</t>
  </si>
  <si>
    <t>imp05</t>
  </si>
  <si>
    <t>imp06</t>
  </si>
  <si>
    <t>01_TGoff/imp01</t>
  </si>
  <si>
    <t>01_TGoff/imp02</t>
  </si>
  <si>
    <t>01_TGoff/imp03</t>
  </si>
  <si>
    <t>01_TGon/imp04</t>
  </si>
  <si>
    <t>01_TGon/imp05</t>
  </si>
  <si>
    <t>01_TGon/imp06</t>
  </si>
  <si>
    <t>コメント</t>
    <phoneticPr fontId="1"/>
  </si>
  <si>
    <t>Name</t>
    <phoneticPr fontId="1"/>
  </si>
  <si>
    <t>Field</t>
    <phoneticPr fontId="1"/>
  </si>
  <si>
    <t>Unit</t>
    <phoneticPr fontId="1"/>
  </si>
  <si>
    <t>01_TGoff</t>
  </si>
  <si>
    <t>DOSE</t>
    <phoneticPr fontId="1"/>
  </si>
  <si>
    <t>cm</t>
    <phoneticPr fontId="1"/>
  </si>
  <si>
    <t>Mode</t>
    <phoneticPr fontId="1"/>
  </si>
  <si>
    <t>Object</t>
    <phoneticPr fontId="1"/>
  </si>
  <si>
    <t>Extract1</t>
    <phoneticPr fontId="1"/>
  </si>
  <si>
    <t>01_TGoff</t>
    <phoneticPr fontId="1"/>
  </si>
  <si>
    <t>tokuE</t>
    <phoneticPr fontId="1"/>
  </si>
  <si>
    <t>tokuF</t>
    <phoneticPr fontId="1"/>
  </si>
  <si>
    <t>VMAX</t>
    <phoneticPr fontId="1"/>
  </si>
  <si>
    <t>VMIN</t>
    <phoneticPr fontId="1"/>
  </si>
  <si>
    <t>01_TGon</t>
    <phoneticPr fontId="1"/>
  </si>
  <si>
    <t>Extract2</t>
  </si>
  <si>
    <t>Extract3</t>
  </si>
  <si>
    <t>Extract4</t>
  </si>
  <si>
    <t>Extract5</t>
  </si>
  <si>
    <t>Extract6</t>
  </si>
  <si>
    <t>Extract7</t>
  </si>
  <si>
    <t>Extract8</t>
  </si>
  <si>
    <t>Extract9</t>
  </si>
  <si>
    <t>Extract10</t>
  </si>
  <si>
    <t xml:space="preserve">Name </t>
  </si>
  <si>
    <t xml:space="preserve">Name </t>
    <phoneticPr fontId="1"/>
  </si>
  <si>
    <t>CWL01</t>
  </si>
  <si>
    <t>CWL01</t>
    <phoneticPr fontId="1"/>
  </si>
  <si>
    <t>OFD</t>
  </si>
  <si>
    <t>OFD</t>
    <phoneticPr fontId="1"/>
  </si>
  <si>
    <t>1SR</t>
    <phoneticPr fontId="1"/>
  </si>
  <si>
    <t>imp002</t>
  </si>
  <si>
    <t>imp002</t>
    <phoneticPr fontId="1"/>
  </si>
  <si>
    <t>imp011</t>
  </si>
  <si>
    <t>imp011</t>
    <phoneticPr fontId="1"/>
  </si>
  <si>
    <t>imp020</t>
  </si>
  <si>
    <t>imp020</t>
    <phoneticPr fontId="1"/>
  </si>
  <si>
    <t>tokusei01</t>
    <phoneticPr fontId="1"/>
  </si>
  <si>
    <t>組み合わせ: CWL01=1_OFD=3</t>
    <rPh sb="0" eb="1">
      <t>ク</t>
    </rPh>
    <rPh sb="2" eb="3">
      <t>ア</t>
    </rPh>
    <phoneticPr fontId="1"/>
  </si>
  <si>
    <t>CWL01=1_OFD=3</t>
    <phoneticPr fontId="1"/>
  </si>
  <si>
    <t>CWL01=1.5_OFD=3</t>
    <phoneticPr fontId="1"/>
  </si>
  <si>
    <t>左3表まとめて→</t>
    <rPh sb="0" eb="1">
      <t>ヒダリ</t>
    </rPh>
    <rPh sb="2" eb="3">
      <t>ヒョウ</t>
    </rPh>
    <phoneticPr fontId="1"/>
  </si>
  <si>
    <t>CWL01=2_OFD=3</t>
    <phoneticPr fontId="1"/>
  </si>
  <si>
    <t>ここはテスト</t>
    <phoneticPr fontId="1"/>
  </si>
  <si>
    <t>X軸</t>
    <rPh sb="1" eb="2">
      <t>ジク</t>
    </rPh>
    <phoneticPr fontId="1"/>
  </si>
  <si>
    <t>グルーピングしたいパラメータを赤色でハッチしてください</t>
    <rPh sb="15" eb="17">
      <t>アカイロ</t>
    </rPh>
    <phoneticPr fontId="1"/>
  </si>
  <si>
    <t>■ speedデータまとめマクロ</t>
    <phoneticPr fontId="1"/>
  </si>
  <si>
    <t>設定したいものを赤色でハッチしてください</t>
    <rPh sb="0" eb="2">
      <t>セッテイ</t>
    </rPh>
    <rPh sb="8" eb="10">
      <t>アカイロ</t>
    </rPh>
    <phoneticPr fontId="1"/>
  </si>
  <si>
    <t>下記　すべて入力後、実行ボタンを押してください。</t>
    <rPh sb="0" eb="2">
      <t>カキ</t>
    </rPh>
    <rPh sb="6" eb="8">
      <t>ニュウリョク</t>
    </rPh>
    <rPh sb="8" eb="9">
      <t>ゴ</t>
    </rPh>
    <rPh sb="10" eb="12">
      <t>ジッコウ</t>
    </rPh>
    <rPh sb="16" eb="17">
      <t>オ</t>
    </rPh>
    <phoneticPr fontId="1"/>
  </si>
  <si>
    <t>Y軸　　</t>
    <phoneticPr fontId="1"/>
  </si>
  <si>
    <t>Srpot</t>
  </si>
  <si>
    <t>toku1</t>
  </si>
  <si>
    <t>toku1</t>
    <phoneticPr fontId="1"/>
  </si>
  <si>
    <t>toku2</t>
  </si>
  <si>
    <t>toku2</t>
    <phoneticPr fontId="1"/>
  </si>
  <si>
    <t>toku3</t>
  </si>
  <si>
    <t>toku3</t>
    <phoneticPr fontId="1"/>
  </si>
  <si>
    <t>matA</t>
  </si>
  <si>
    <t>matB</t>
  </si>
  <si>
    <t>CWL1</t>
  </si>
  <si>
    <t>matD</t>
  </si>
  <si>
    <t>matE</t>
  </si>
  <si>
    <t>グラフ作成 散布図　Y軸</t>
    <rPh sb="3" eb="5">
      <t>サクセイ</t>
    </rPh>
    <rPh sb="6" eb="9">
      <t>サンプズ</t>
    </rPh>
    <rPh sb="11" eb="12">
      <t>ジク</t>
    </rPh>
    <phoneticPr fontId="1"/>
  </si>
  <si>
    <t>グラフ作成 散布図　X軸 コンボボックス・グルーピング</t>
    <rPh sb="3" eb="5">
      <t>サクセイ</t>
    </rPh>
    <rPh sb="6" eb="9">
      <t>サンプズ</t>
    </rPh>
    <rPh sb="11" eb="12">
      <t>ジク</t>
    </rPh>
    <phoneticPr fontId="1"/>
  </si>
  <si>
    <t>グラフ作成 散布図　X軸コンボボックス</t>
    <rPh sb="3" eb="5">
      <t>サクセイ</t>
    </rPh>
    <rPh sb="6" eb="9">
      <t>サンプズ</t>
    </rPh>
    <rPh sb="11" eb="12">
      <t>ジク</t>
    </rPh>
    <phoneticPr fontId="1"/>
  </si>
  <si>
    <t>01_TGon/imp07</t>
  </si>
  <si>
    <t>01_TGon/imp08</t>
  </si>
  <si>
    <t>matL</t>
  </si>
  <si>
    <t>matL</t>
    <phoneticPr fontId="1"/>
  </si>
  <si>
    <t>matM</t>
  </si>
  <si>
    <t>matM</t>
    <phoneticPr fontId="1"/>
  </si>
  <si>
    <t>tokuA</t>
  </si>
  <si>
    <t>Qs01</t>
    <phoneticPr fontId="1"/>
  </si>
  <si>
    <t>TEST01</t>
    <phoneticPr fontId="1"/>
  </si>
  <si>
    <t>ZTEST01</t>
    <phoneticPr fontId="1"/>
  </si>
  <si>
    <t>Extract11</t>
  </si>
  <si>
    <t>Qs</t>
    <phoneticPr fontId="1"/>
  </si>
  <si>
    <t>VMAX</t>
    <phoneticPr fontId="1"/>
  </si>
  <si>
    <t>NSADDLE</t>
    <phoneticPr fontId="1"/>
  </si>
  <si>
    <t>XNADDLE</t>
    <phoneticPr fontId="1"/>
  </si>
  <si>
    <t>ELECTRON</t>
    <phoneticPr fontId="1"/>
  </si>
  <si>
    <t>PLT|EXT</t>
    <phoneticPr fontId="1"/>
  </si>
  <si>
    <t>Qs02</t>
    <phoneticPr fontId="1"/>
  </si>
  <si>
    <t>01_TGon</t>
    <phoneticPr fontId="1"/>
  </si>
  <si>
    <t>01_TGoff</t>
    <phoneticPr fontId="1"/>
  </si>
  <si>
    <t>SRpot</t>
  </si>
  <si>
    <t>Qs02</t>
  </si>
  <si>
    <t>Name</t>
  </si>
  <si>
    <t>ABC</t>
  </si>
  <si>
    <t>ABC</t>
    <phoneticPr fontId="1"/>
  </si>
  <si>
    <t>imp07</t>
  </si>
  <si>
    <t>imp08</t>
  </si>
  <si>
    <t>※　今回</t>
    <rPh sb="2" eb="4">
      <t>コンカイ</t>
    </rPh>
    <phoneticPr fontId="1"/>
  </si>
  <si>
    <t>SRPot</t>
    <phoneticPr fontId="1"/>
  </si>
  <si>
    <t>Y軸が 　いか指定されているなら　Srpot で１つのグラフを作り。 Toku1, toku2… でも１つずつ別個のグラフを作る</t>
    <rPh sb="1" eb="2">
      <t>ジク</t>
    </rPh>
    <rPh sb="7" eb="9">
      <t>シテイ</t>
    </rPh>
    <rPh sb="31" eb="32">
      <t>ツク</t>
    </rPh>
    <rPh sb="55" eb="57">
      <t>ベッコ</t>
    </rPh>
    <rPh sb="62" eb="63">
      <t>ツク</t>
    </rPh>
    <phoneticPr fontId="1"/>
  </si>
  <si>
    <t>CWL1=1,matD=5.1, ABC=-3.11</t>
    <phoneticPr fontId="1"/>
  </si>
  <si>
    <r>
      <t>CWL1=1,matD=5.1, ABC=-3.1</t>
    </r>
    <r>
      <rPr>
        <b/>
        <sz val="11"/>
        <color theme="1"/>
        <rFont val="Yu Gothic"/>
        <family val="2"/>
        <scheme val="minor"/>
      </rPr>
      <t>6</t>
    </r>
    <phoneticPr fontId="1"/>
  </si>
  <si>
    <t>CWL1=1.5,matD=5.1, ABC=-3.11</t>
    <phoneticPr fontId="1"/>
  </si>
  <si>
    <r>
      <t>CWL1=1.5,matD=5.1, ABC=-3.1</t>
    </r>
    <r>
      <rPr>
        <b/>
        <sz val="11"/>
        <color theme="1"/>
        <rFont val="Yu Gothic"/>
        <family val="2"/>
        <scheme val="minor"/>
      </rPr>
      <t>6</t>
    </r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</si>
</sst>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sz val="20"/>
      <color theme="1"/>
      <name val="Yu Gothic"/>
      <family val="2"/>
      <scheme val="minor"/>
    </font>
    <font>
      <sz val="11"/>
      <color rgb="FF000000"/>
      <name val="Yu Gothic"/>
      <family val="3"/>
      <charset val="128"/>
    </font>
    <font>
      <sz val="9"/>
      <color rgb="FF000000"/>
      <name val="Meiryo UI"/>
      <family val="3"/>
      <charset val="128"/>
    </font>
    <font>
      <b/>
      <sz val="11"/>
      <color theme="1"/>
      <name val="Yu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11" fontId="0" fillId="0" borderId="0" xfId="0" applyNumberFormat="1"/>
    <xf numFmtId="0" fontId="0" fillId="0" borderId="1" xfId="0" applyBorder="1"/>
    <xf numFmtId="11" fontId="0" fillId="0" borderId="1" xfId="0" applyNumberFormat="1" applyBorder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11" fontId="0" fillId="8" borderId="0" xfId="0" applyNumberFormat="1" applyFill="1"/>
    <xf numFmtId="0" fontId="0" fillId="8" borderId="1" xfId="0" applyFill="1" applyBorder="1"/>
    <xf numFmtId="0" fontId="0" fillId="8" borderId="1" xfId="0" applyNumberFormat="1" applyFill="1" applyBorder="1"/>
    <xf numFmtId="0" fontId="0" fillId="0" borderId="1" xfId="0" applyFill="1" applyBorder="1"/>
    <xf numFmtId="0" fontId="2" fillId="0" borderId="0" xfId="0" applyFont="1"/>
    <xf numFmtId="0" fontId="0" fillId="0" borderId="2" xfId="0" applyFill="1" applyBorder="1"/>
    <xf numFmtId="0" fontId="0" fillId="9" borderId="0" xfId="0" applyFill="1"/>
    <xf numFmtId="0" fontId="0" fillId="9" borderId="1" xfId="0" applyFill="1" applyBorder="1"/>
    <xf numFmtId="0" fontId="4" fillId="9" borderId="0" xfId="0" applyFont="1" applyFill="1"/>
    <xf numFmtId="0" fontId="0" fillId="10" borderId="0" xfId="0" applyFill="1"/>
    <xf numFmtId="0" fontId="0" fillId="11" borderId="0" xfId="0" applyFill="1"/>
    <xf numFmtId="0" fontId="0" fillId="12" borderId="1" xfId="0" applyFill="1" applyBorder="1"/>
    <xf numFmtId="0" fontId="0" fillId="13" borderId="1" xfId="0" applyFill="1" applyBorder="1"/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toku1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Ref>
              <c:f>サマリ!$A$2:$A$7</c:f>
              <c:strCache>
                <c:ptCount val="6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</c:strCache>
            </c:strRef>
          </c:cat>
          <c:val>
            <c:numRef>
              <c:f>サマリ!$B$2:$B$7</c:f>
              <c:numCache>
                <c:formatCode>General</c:formatCode>
                <c:ptCount val="6"/>
                <c:pt idx="0">
                  <c:v>0.65700000000000003</c:v>
                </c:pt>
                <c:pt idx="1">
                  <c:v>0.65700000000000003</c:v>
                </c:pt>
                <c:pt idx="2">
                  <c:v>0.65700000000000003</c:v>
                </c:pt>
                <c:pt idx="3">
                  <c:v>0.65700000000000003</c:v>
                </c:pt>
                <c:pt idx="4">
                  <c:v>0.65700000000000003</c:v>
                </c:pt>
                <c:pt idx="5">
                  <c:v>0.65700000000000003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B8-493B-916D-18AF82A058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236000"/>
        <c:axId val="490243872"/>
      </c:lineChart>
      <c:catAx>
        <c:axId val="490236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90243872"/>
        <c:crosses val="autoZero"/>
        <c:auto val="1"/>
        <c:lblAlgn val="ctr"/>
        <c:lblOffset val="100"/>
        <c:noMultiLvlLbl val="0"/>
      </c:catAx>
      <c:valAx>
        <c:axId val="4902438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9023600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サマリ!$C$1</c:f>
          <c:strCache>
            <c:ptCount val="1"/>
            <c:pt idx="0">
              <c:v>toku2</c:v>
            </c:pt>
          </c:strCache>
        </c:strRef>
      </c:tx>
      <c:overlay val="0"/>
      <c:txPr>
        <a:bodyPr/>
        <a:lstStyle/>
        <a:p>
          <a:pPr>
            <a:defRPr/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サマリ!$C$1</c:f>
              <c:strCache>
                <c:ptCount val="1"/>
                <c:pt idx="0">
                  <c:v>toku2</c:v>
                </c:pt>
              </c:strCache>
            </c:strRef>
          </c:tx>
          <c:cat>
            <c:strRef>
              <c:f>サマリ!$A$2:$A$7</c:f>
              <c:strCache>
                <c:ptCount val="6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</c:strCache>
            </c:strRef>
          </c:cat>
          <c:val>
            <c:numRef>
              <c:f>サマリ!$C$2:$C$7</c:f>
              <c:numCache>
                <c:formatCode>General</c:formatCode>
                <c:ptCount val="6"/>
                <c:pt idx="0">
                  <c:v>0.23799999999999999</c:v>
                </c:pt>
                <c:pt idx="1">
                  <c:v>0.23799999999999999</c:v>
                </c:pt>
                <c:pt idx="2">
                  <c:v>0.23799999999999999</c:v>
                </c:pt>
                <c:pt idx="3">
                  <c:v>0.23799999999999999</c:v>
                </c:pt>
                <c:pt idx="4">
                  <c:v>0.23799999999999999</c:v>
                </c:pt>
                <c:pt idx="5">
                  <c:v>0.23799999999999999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4-43F9-8644-ED87F8A94C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236000"/>
        <c:axId val="490243872"/>
      </c:lineChart>
      <c:catAx>
        <c:axId val="490236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90243872"/>
        <c:crosses val="autoZero"/>
        <c:auto val="1"/>
        <c:lblAlgn val="ctr"/>
        <c:lblOffset val="100"/>
        <c:noMultiLvlLbl val="0"/>
      </c:catAx>
      <c:valAx>
        <c:axId val="4902438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9023600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サマリ!$D$1</c:f>
          <c:strCache>
            <c:ptCount val="1"/>
            <c:pt idx="0">
              <c:v>tokuA</c:v>
            </c:pt>
          </c:strCache>
        </c:strRef>
      </c:tx>
      <c:overlay val="0"/>
      <c:txPr>
        <a:bodyPr/>
        <a:lstStyle/>
        <a:p>
          <a:pPr>
            <a:defRPr/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サマリ!$D$1</c:f>
              <c:strCache>
                <c:ptCount val="1"/>
                <c:pt idx="0">
                  <c:v>tokuA</c:v>
                </c:pt>
              </c:strCache>
            </c:strRef>
          </c:tx>
          <c:cat>
            <c:strRef>
              <c:f>サマリ!$A$2:$A$7</c:f>
              <c:strCache>
                <c:ptCount val="6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</c:strCache>
            </c:strRef>
          </c:cat>
          <c:val>
            <c:numRef>
              <c:f>サマリ!$D$2:$D$7</c:f>
              <c:numCache>
                <c:formatCode>General</c:formatCode>
                <c:ptCount val="6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  <c:pt idx="3">
                  <c:v>2.0299999999999998</c:v>
                </c:pt>
                <c:pt idx="4">
                  <c:v>1.93</c:v>
                </c:pt>
                <c:pt idx="5">
                  <c:v>1.83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D8-4DB7-BFEF-611294FBE1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236000"/>
        <c:axId val="490243872"/>
      </c:lineChart>
      <c:catAx>
        <c:axId val="490236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90243872"/>
        <c:crosses val="autoZero"/>
        <c:auto val="1"/>
        <c:lblAlgn val="ctr"/>
        <c:lblOffset val="100"/>
        <c:noMultiLvlLbl val="0"/>
      </c:catAx>
      <c:valAx>
        <c:axId val="4902438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9023600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サマリ!$E$1</c:f>
          <c:strCache>
            <c:ptCount val="1"/>
            <c:pt idx="0">
              <c:v>SRpot</c:v>
            </c:pt>
          </c:strCache>
        </c:strRef>
      </c:tx>
      <c:overlay val="0"/>
      <c:txPr>
        <a:bodyPr/>
        <a:lstStyle/>
        <a:p>
          <a:pPr>
            <a:defRPr/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サマリ!$E$1</c:f>
              <c:strCache>
                <c:ptCount val="1"/>
                <c:pt idx="0">
                  <c:v>SRpot</c:v>
                </c:pt>
              </c:strCache>
            </c:strRef>
          </c:tx>
          <c:cat>
            <c:strRef>
              <c:f>サマリ!$A$2:$A$7</c:f>
              <c:strCache>
                <c:ptCount val="6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</c:strCache>
            </c:strRef>
          </c:cat>
          <c:val>
            <c:numRef>
              <c:f>サマリ!$E$2:$E$7</c:f>
              <c:numCache>
                <c:formatCode>General</c:formatCode>
                <c:ptCount val="6"/>
                <c:pt idx="0">
                  <c:v>2.33</c:v>
                </c:pt>
                <c:pt idx="1">
                  <c:v>2.31</c:v>
                </c:pt>
                <c:pt idx="2">
                  <c:v>2.29</c:v>
                </c:pt>
                <c:pt idx="3">
                  <c:v>2.27</c:v>
                </c:pt>
                <c:pt idx="4">
                  <c:v>2.25</c:v>
                </c:pt>
                <c:pt idx="5">
                  <c:v>2.23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E2-4B27-805E-0E6315FC0B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236000"/>
        <c:axId val="490243872"/>
      </c:lineChart>
      <c:catAx>
        <c:axId val="490236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90243872"/>
        <c:crosses val="autoZero"/>
        <c:auto val="1"/>
        <c:lblAlgn val="ctr"/>
        <c:lblOffset val="100"/>
        <c:noMultiLvlLbl val="0"/>
      </c:catAx>
      <c:valAx>
        <c:axId val="4902438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9023600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サマリ!$F$1</c:f>
          <c:strCache>
            <c:ptCount val="1"/>
            <c:pt idx="0">
              <c:v>Qs02</c:v>
            </c:pt>
          </c:strCache>
        </c:strRef>
      </c:tx>
      <c:overlay val="0"/>
      <c:txPr>
        <a:bodyPr/>
        <a:lstStyle/>
        <a:p>
          <a:pPr>
            <a:defRPr/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サマリ!$F$1</c:f>
              <c:strCache>
                <c:ptCount val="1"/>
                <c:pt idx="0">
                  <c:v>Qs02</c:v>
                </c:pt>
              </c:strCache>
            </c:strRef>
          </c:tx>
          <c:cat>
            <c:strRef>
              <c:f>サマリ!$A$2:$A$7</c:f>
              <c:strCache>
                <c:ptCount val="6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</c:strCache>
            </c:strRef>
          </c:cat>
          <c:val>
            <c:numRef>
              <c:f>サマリ!$F$2:$F$7</c:f>
              <c:numCache>
                <c:formatCode>General</c:formatCode>
                <c:ptCount val="6"/>
                <c:pt idx="0">
                  <c:v>0.38</c:v>
                </c:pt>
                <c:pt idx="1">
                  <c:v>0.38</c:v>
                </c:pt>
                <c:pt idx="2">
                  <c:v>0.38</c:v>
                </c:pt>
                <c:pt idx="3">
                  <c:v>0.38</c:v>
                </c:pt>
                <c:pt idx="4">
                  <c:v>0.38</c:v>
                </c:pt>
                <c:pt idx="5">
                  <c:v>0.38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D6-467B-B65F-905A9ED869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236000"/>
        <c:axId val="490243872"/>
      </c:lineChart>
      <c:catAx>
        <c:axId val="490236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90243872"/>
        <c:crosses val="autoZero"/>
        <c:auto val="1"/>
        <c:lblAlgn val="ctr"/>
        <c:lblOffset val="100"/>
        <c:noMultiLvlLbl val="0"/>
      </c:catAx>
      <c:valAx>
        <c:axId val="4902438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9023600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軸＝</a:t>
            </a:r>
            <a:r>
              <a:rPr lang="en-US" altLang="ja-JP"/>
              <a:t>SRpot</a:t>
            </a:r>
            <a:r>
              <a:rPr lang="ja-JP" altLang="en-US"/>
              <a:t>のグラフ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例_散布図!$L$2</c:f>
              <c:strCache>
                <c:ptCount val="1"/>
                <c:pt idx="0">
                  <c:v>CWL01=1_OFD=3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例_散布図!$K$3:$K$8</c:f>
              <c:numCache>
                <c:formatCode>General</c:formatCode>
                <c:ptCount val="6"/>
                <c:pt idx="0">
                  <c:v>5290000000000</c:v>
                </c:pt>
                <c:pt idx="1">
                  <c:v>5340000000000</c:v>
                </c:pt>
                <c:pt idx="2">
                  <c:v>5390000000000</c:v>
                </c:pt>
                <c:pt idx="3">
                  <c:v>5440000000000</c:v>
                </c:pt>
                <c:pt idx="4">
                  <c:v>5490000000000</c:v>
                </c:pt>
                <c:pt idx="5">
                  <c:v>5540000000000</c:v>
                </c:pt>
              </c:numCache>
            </c:numRef>
          </c:xVal>
          <c:yVal>
            <c:numRef>
              <c:f>例_散布図!$L$3:$L$8</c:f>
              <c:numCache>
                <c:formatCode>General</c:formatCode>
                <c:ptCount val="6"/>
                <c:pt idx="1">
                  <c:v>1.38</c:v>
                </c:pt>
                <c:pt idx="2">
                  <c:v>1.41</c:v>
                </c:pt>
                <c:pt idx="3">
                  <c:v>1.36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76-4451-A56C-95C14C44CC38}"/>
            </c:ext>
          </c:extLst>
        </c:ser>
        <c:ser>
          <c:idx val="1"/>
          <c:order val="1"/>
          <c:tx>
            <c:strRef>
              <c:f>例_散布図!$M$2</c:f>
              <c:strCache>
                <c:ptCount val="1"/>
                <c:pt idx="0">
                  <c:v>CWL01=1.5_OFD=3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例_散布図!$K$3:$K$8</c:f>
              <c:numCache>
                <c:formatCode>General</c:formatCode>
                <c:ptCount val="6"/>
                <c:pt idx="0">
                  <c:v>5290000000000</c:v>
                </c:pt>
                <c:pt idx="1">
                  <c:v>5340000000000</c:v>
                </c:pt>
                <c:pt idx="2">
                  <c:v>5390000000000</c:v>
                </c:pt>
                <c:pt idx="3">
                  <c:v>5440000000000</c:v>
                </c:pt>
                <c:pt idx="4">
                  <c:v>5490000000000</c:v>
                </c:pt>
                <c:pt idx="5">
                  <c:v>5540000000000</c:v>
                </c:pt>
              </c:numCache>
            </c:numRef>
          </c:xVal>
          <c:yVal>
            <c:numRef>
              <c:f>例_散布図!$M$3:$M$8</c:f>
              <c:numCache>
                <c:formatCode>General</c:formatCode>
                <c:ptCount val="6"/>
                <c:pt idx="0">
                  <c:v>1</c:v>
                </c:pt>
                <c:pt idx="1">
                  <c:v>2.35</c:v>
                </c:pt>
                <c:pt idx="2">
                  <c:v>2.38</c:v>
                </c:pt>
                <c:pt idx="3">
                  <c:v>2.41</c:v>
                </c:pt>
                <c:pt idx="4">
                  <c:v>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C76-4451-A56C-95C14C44CC38}"/>
            </c:ext>
          </c:extLst>
        </c:ser>
        <c:ser>
          <c:idx val="2"/>
          <c:order val="2"/>
          <c:tx>
            <c:strRef>
              <c:f>例_散布図!$N$2</c:f>
              <c:strCache>
                <c:ptCount val="1"/>
                <c:pt idx="0">
                  <c:v>CWL01=2_OFD=3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例_散布図!$K$3:$K$8</c:f>
              <c:numCache>
                <c:formatCode>General</c:formatCode>
                <c:ptCount val="6"/>
                <c:pt idx="0">
                  <c:v>5290000000000</c:v>
                </c:pt>
                <c:pt idx="1">
                  <c:v>5340000000000</c:v>
                </c:pt>
                <c:pt idx="2">
                  <c:v>5390000000000</c:v>
                </c:pt>
                <c:pt idx="3">
                  <c:v>5440000000000</c:v>
                </c:pt>
                <c:pt idx="4">
                  <c:v>5490000000000</c:v>
                </c:pt>
                <c:pt idx="5">
                  <c:v>5540000000000</c:v>
                </c:pt>
              </c:numCache>
            </c:numRef>
          </c:xVal>
          <c:yVal>
            <c:numRef>
              <c:f>例_散布図!$N$3:$N$8</c:f>
              <c:numCache>
                <c:formatCode>General</c:formatCode>
                <c:ptCount val="6"/>
                <c:pt idx="1">
                  <c:v>3.31</c:v>
                </c:pt>
                <c:pt idx="2">
                  <c:v>3.34</c:v>
                </c:pt>
                <c:pt idx="3">
                  <c:v>3.37</c:v>
                </c:pt>
                <c:pt idx="4">
                  <c:v>6</c:v>
                </c:pt>
                <c:pt idx="5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C76-4451-A56C-95C14C44CC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5915568"/>
        <c:axId val="535917864"/>
      </c:scatterChart>
      <c:valAx>
        <c:axId val="535915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5917864"/>
        <c:crosses val="autoZero"/>
        <c:crossBetween val="midCat"/>
      </c:valAx>
      <c:valAx>
        <c:axId val="535917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5915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Drop" dropStyle="combo" dx="22" fmlaLink="$C$14" fmlaRange="work_graph!A2:A9" noThreeD="1" sel="1" val="0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2</xdr:row>
          <xdr:rowOff>161925</xdr:rowOff>
        </xdr:from>
        <xdr:to>
          <xdr:col>3</xdr:col>
          <xdr:colOff>123825</xdr:colOff>
          <xdr:row>4</xdr:row>
          <xdr:rowOff>0</xdr:rowOff>
        </xdr:to>
        <xdr:sp macro="" textlink="">
          <xdr:nvSpPr>
            <xdr:cNvPr id="2049" name="Button_read_jyoke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条件表　読み込み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4</xdr:row>
          <xdr:rowOff>228600</xdr:rowOff>
        </xdr:from>
        <xdr:to>
          <xdr:col>3</xdr:col>
          <xdr:colOff>104775</xdr:colOff>
          <xdr:row>6</xdr:row>
          <xdr:rowOff>66675</xdr:rowOff>
        </xdr:to>
        <xdr:sp macro="" textlink="">
          <xdr:nvSpPr>
            <xdr:cNvPr id="2050" name="Button_read_settei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設定ファイル読み込み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7</xdr:row>
          <xdr:rowOff>9525</xdr:rowOff>
        </xdr:from>
        <xdr:to>
          <xdr:col>3</xdr:col>
          <xdr:colOff>123825</xdr:colOff>
          <xdr:row>8</xdr:row>
          <xdr:rowOff>85725</xdr:rowOff>
        </xdr:to>
        <xdr:sp macro="" textlink="">
          <xdr:nvSpPr>
            <xdr:cNvPr id="2051" name="Button_read_speed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Speed読み込み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9</xdr:row>
          <xdr:rowOff>66675</xdr:rowOff>
        </xdr:from>
        <xdr:to>
          <xdr:col>3</xdr:col>
          <xdr:colOff>219075</xdr:colOff>
          <xdr:row>9</xdr:row>
          <xdr:rowOff>371475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　グラフ作成　サマリ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10</xdr:row>
          <xdr:rowOff>28575</xdr:rowOff>
        </xdr:from>
        <xdr:to>
          <xdr:col>2</xdr:col>
          <xdr:colOff>19050</xdr:colOff>
          <xdr:row>10</xdr:row>
          <xdr:rowOff>295275</xdr:rowOff>
        </xdr:to>
        <xdr:sp macro="" textlink="">
          <xdr:nvSpPr>
            <xdr:cNvPr id="2053" name="checkbox_scatter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　グラフ作成　散布図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590550</xdr:colOff>
          <xdr:row>12</xdr:row>
          <xdr:rowOff>57150</xdr:rowOff>
        </xdr:from>
        <xdr:to>
          <xdr:col>2</xdr:col>
          <xdr:colOff>542925</xdr:colOff>
          <xdr:row>13</xdr:row>
          <xdr:rowOff>85725</xdr:rowOff>
        </xdr:to>
        <xdr:sp macro="" textlink="">
          <xdr:nvSpPr>
            <xdr:cNvPr id="2056" name="ComboScatterX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</xdr:row>
          <xdr:rowOff>19050</xdr:rowOff>
        </xdr:from>
        <xdr:to>
          <xdr:col>6</xdr:col>
          <xdr:colOff>238125</xdr:colOff>
          <xdr:row>2</xdr:row>
          <xdr:rowOff>85725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</xdr:row>
      <xdr:rowOff>0</xdr:rowOff>
    </xdr:from>
    <xdr:to>
      <xdr:col>14</xdr:col>
      <xdr:colOff>457200</xdr:colOff>
      <xdr:row>12</xdr:row>
      <xdr:rowOff>123825</xdr:rowOff>
    </xdr:to>
    <xdr:graphicFrame macro="">
      <xdr:nvGraphicFramePr>
        <xdr:cNvPr id="3" name="sim_graph1">
          <a:extLst>
            <a:ext uri="{FF2B5EF4-FFF2-40B4-BE49-F238E27FC236}">
              <a16:creationId xmlns:a16="http://schemas.microsoft.com/office/drawing/2014/main" id="{FC812A16-E82F-456D-B581-D5E663E9B5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14</xdr:row>
      <xdr:rowOff>0</xdr:rowOff>
    </xdr:from>
    <xdr:to>
      <xdr:col>14</xdr:col>
      <xdr:colOff>457200</xdr:colOff>
      <xdr:row>25</xdr:row>
      <xdr:rowOff>123825</xdr:rowOff>
    </xdr:to>
    <xdr:graphicFrame macro="">
      <xdr:nvGraphicFramePr>
        <xdr:cNvPr id="16" name="グラフ 2">
          <a:extLst>
            <a:ext uri="{FF2B5EF4-FFF2-40B4-BE49-F238E27FC236}">
              <a16:creationId xmlns:a16="http://schemas.microsoft.com/office/drawing/2014/main" id="{BE728C88-6E2E-4E91-8A84-0D5665EA1B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0</xdr:colOff>
      <xdr:row>29</xdr:row>
      <xdr:rowOff>0</xdr:rowOff>
    </xdr:from>
    <xdr:to>
      <xdr:col>14</xdr:col>
      <xdr:colOff>457200</xdr:colOff>
      <xdr:row>40</xdr:row>
      <xdr:rowOff>123825</xdr:rowOff>
    </xdr:to>
    <xdr:graphicFrame macro="">
      <xdr:nvGraphicFramePr>
        <xdr:cNvPr id="17" name="グラフ 3">
          <a:extLst>
            <a:ext uri="{FF2B5EF4-FFF2-40B4-BE49-F238E27FC236}">
              <a16:creationId xmlns:a16="http://schemas.microsoft.com/office/drawing/2014/main" id="{A2CA9CFD-083F-4EE1-960A-85614F3E6E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44</xdr:row>
      <xdr:rowOff>0</xdr:rowOff>
    </xdr:from>
    <xdr:to>
      <xdr:col>14</xdr:col>
      <xdr:colOff>457200</xdr:colOff>
      <xdr:row>55</xdr:row>
      <xdr:rowOff>123825</xdr:rowOff>
    </xdr:to>
    <xdr:graphicFrame macro="">
      <xdr:nvGraphicFramePr>
        <xdr:cNvPr id="18" name="グラフ 4">
          <a:extLst>
            <a:ext uri="{FF2B5EF4-FFF2-40B4-BE49-F238E27FC236}">
              <a16:creationId xmlns:a16="http://schemas.microsoft.com/office/drawing/2014/main" id="{2902BAE4-EB8B-439C-894A-A62D8BDC9A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0</xdr:colOff>
      <xdr:row>59</xdr:row>
      <xdr:rowOff>0</xdr:rowOff>
    </xdr:from>
    <xdr:to>
      <xdr:col>14</xdr:col>
      <xdr:colOff>457200</xdr:colOff>
      <xdr:row>70</xdr:row>
      <xdr:rowOff>123825</xdr:rowOff>
    </xdr:to>
    <xdr:graphicFrame macro="">
      <xdr:nvGraphicFramePr>
        <xdr:cNvPr id="19" name="グラフ 5">
          <a:extLst>
            <a:ext uri="{FF2B5EF4-FFF2-40B4-BE49-F238E27FC236}">
              <a16:creationId xmlns:a16="http://schemas.microsoft.com/office/drawing/2014/main" id="{35F7165A-5C5B-4446-9D61-80AADAED6B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102053</xdr:colOff>
      <xdr:row>9</xdr:row>
      <xdr:rowOff>36738</xdr:rowOff>
    </xdr:from>
    <xdr:to>
      <xdr:col>13</xdr:col>
      <xdr:colOff>959303</xdr:colOff>
      <xdr:row>20</xdr:row>
      <xdr:rowOff>85724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CE3032-A9E7-4674-99B7-040C5D6F819D}">
  <sheetPr codeName="Sheet1"/>
  <dimension ref="A1:Q25"/>
  <sheetViews>
    <sheetView topLeftCell="A8" workbookViewId="0">
      <selection activeCell="L25" sqref="L20:L25"/>
    </sheetView>
  </sheetViews>
  <sheetFormatPr defaultRowHeight="18.75"/>
  <cols>
    <col min="1" max="16384" width="9" style="17"/>
  </cols>
  <sheetData>
    <row r="1" spans="1:17" ht="33">
      <c r="A1" s="19" t="s">
        <v>83</v>
      </c>
    </row>
    <row r="2" spans="1:17">
      <c r="A2" s="17" t="s">
        <v>85</v>
      </c>
    </row>
    <row r="10" spans="1:17" ht="45.75" customHeight="1"/>
    <row r="11" spans="1:17" ht="45.75" customHeight="1"/>
    <row r="12" spans="1:17">
      <c r="B12" s="17" t="s">
        <v>81</v>
      </c>
      <c r="E12" s="17" t="s">
        <v>86</v>
      </c>
    </row>
    <row r="13" spans="1:17">
      <c r="E13" s="17" t="s">
        <v>84</v>
      </c>
      <c r="J13" s="17" t="s">
        <v>82</v>
      </c>
    </row>
    <row r="14" spans="1:17">
      <c r="C14" s="17">
        <v>1</v>
      </c>
    </row>
    <row r="15" spans="1:17">
      <c r="E15" s="18" t="s">
        <v>87</v>
      </c>
      <c r="J15" s="22" t="s">
        <v>94</v>
      </c>
      <c r="K15" s="22" t="s">
        <v>95</v>
      </c>
      <c r="L15" s="22" t="s">
        <v>96</v>
      </c>
      <c r="M15" s="22" t="s">
        <v>97</v>
      </c>
      <c r="N15" s="22" t="s">
        <v>98</v>
      </c>
      <c r="O15" s="22" t="s">
        <v>125</v>
      </c>
      <c r="P15" s="22" t="s">
        <v>104</v>
      </c>
      <c r="Q15" s="22" t="s">
        <v>106</v>
      </c>
    </row>
    <row r="16" spans="1:17">
      <c r="E16" s="18" t="s">
        <v>88</v>
      </c>
      <c r="J16" s="18">
        <v>1</v>
      </c>
      <c r="K16" s="18">
        <v>1</v>
      </c>
      <c r="L16" s="18">
        <v>1</v>
      </c>
      <c r="M16" s="18">
        <v>5.0999999999999996</v>
      </c>
      <c r="N16" s="18">
        <v>-1.2</v>
      </c>
      <c r="O16" s="23">
        <v>-3.11</v>
      </c>
      <c r="P16" s="18">
        <v>2</v>
      </c>
      <c r="Q16" s="18">
        <v>-1.1000000000000001</v>
      </c>
    </row>
    <row r="17" spans="5:17">
      <c r="E17" s="18" t="s">
        <v>90</v>
      </c>
      <c r="J17" s="18">
        <v>2</v>
      </c>
      <c r="K17" s="18"/>
      <c r="L17" s="23">
        <v>1.5</v>
      </c>
      <c r="M17" s="23">
        <v>5.2</v>
      </c>
      <c r="N17" s="18"/>
      <c r="O17" s="23">
        <v>-3.16</v>
      </c>
      <c r="P17" s="18"/>
      <c r="Q17" s="18">
        <v>-1.2</v>
      </c>
    </row>
    <row r="18" spans="5:17">
      <c r="E18" s="18" t="s">
        <v>92</v>
      </c>
      <c r="J18" s="18">
        <v>3</v>
      </c>
      <c r="K18" s="18"/>
      <c r="L18" s="23">
        <v>2.1</v>
      </c>
      <c r="M18" s="18"/>
      <c r="N18" s="18"/>
      <c r="O18" s="18"/>
      <c r="P18" s="18"/>
      <c r="Q18" s="18">
        <v>-1.3</v>
      </c>
    </row>
    <row r="19" spans="5:17">
      <c r="E19" s="18" t="s">
        <v>108</v>
      </c>
    </row>
    <row r="20" spans="5:17">
      <c r="L20" s="17" t="s">
        <v>132</v>
      </c>
    </row>
    <row r="21" spans="5:17">
      <c r="L21" s="17" t="s">
        <v>133</v>
      </c>
    </row>
    <row r="22" spans="5:17">
      <c r="L22" s="17" t="s">
        <v>134</v>
      </c>
    </row>
    <row r="23" spans="5:17">
      <c r="L23" s="17" t="s">
        <v>135</v>
      </c>
    </row>
    <row r="24" spans="5:17">
      <c r="L24" s="17" t="s">
        <v>134</v>
      </c>
    </row>
    <row r="25" spans="5:17">
      <c r="L25" s="17" t="s">
        <v>135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_read_jyoken">
              <controlPr defaultSize="0" print="0" autoFill="0" autoPict="0" macro="[0]!Button_read_jyoken_Click">
                <anchor moveWithCells="1" sizeWithCells="1">
                  <from>
                    <xdr:col>0</xdr:col>
                    <xdr:colOff>209550</xdr:colOff>
                    <xdr:row>2</xdr:row>
                    <xdr:rowOff>161925</xdr:rowOff>
                  </from>
                  <to>
                    <xdr:col>3</xdr:col>
                    <xdr:colOff>123825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_read_settei">
              <controlPr defaultSize="0" print="0" autoFill="0" autoPict="0" macro="[0]!Button_read_settei_Click">
                <anchor moveWithCells="1" sizeWithCells="1">
                  <from>
                    <xdr:col>0</xdr:col>
                    <xdr:colOff>190500</xdr:colOff>
                    <xdr:row>4</xdr:row>
                    <xdr:rowOff>228600</xdr:rowOff>
                  </from>
                  <to>
                    <xdr:col>3</xdr:col>
                    <xdr:colOff>104775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_read_speed">
              <controlPr defaultSize="0" print="0" autoFill="0" autoPict="0" macro="[0]!グラフ作成_Button_read_speed_Click">
                <anchor moveWithCells="1" sizeWithCells="1">
                  <from>
                    <xdr:col>0</xdr:col>
                    <xdr:colOff>209550</xdr:colOff>
                    <xdr:row>7</xdr:row>
                    <xdr:rowOff>9525</xdr:rowOff>
                  </from>
                  <to>
                    <xdr:col>3</xdr:col>
                    <xdr:colOff>123825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Check Box 4">
              <controlPr defaultSize="0" autoFill="0" autoLine="0" autoPict="0">
                <anchor moveWithCells="1">
                  <from>
                    <xdr:col>0</xdr:col>
                    <xdr:colOff>257175</xdr:colOff>
                    <xdr:row>9</xdr:row>
                    <xdr:rowOff>66675</xdr:rowOff>
                  </from>
                  <to>
                    <xdr:col>3</xdr:col>
                    <xdr:colOff>219075</xdr:colOff>
                    <xdr:row>9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checkbox_scatter">
              <controlPr defaultSize="0" autoFill="0" autoLine="0" autoPict="0">
                <anchor moveWithCells="1">
                  <from>
                    <xdr:col>0</xdr:col>
                    <xdr:colOff>247650</xdr:colOff>
                    <xdr:row>10</xdr:row>
                    <xdr:rowOff>28575</xdr:rowOff>
                  </from>
                  <to>
                    <xdr:col>2</xdr:col>
                    <xdr:colOff>19050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ComboScatterX">
              <controlPr defaultSize="0" autoLine="0" autoPict="0">
                <anchor moveWithCells="1">
                  <from>
                    <xdr:col>0</xdr:col>
                    <xdr:colOff>590550</xdr:colOff>
                    <xdr:row>12</xdr:row>
                    <xdr:rowOff>57150</xdr:rowOff>
                  </from>
                  <to>
                    <xdr:col>2</xdr:col>
                    <xdr:colOff>542925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0" name="Button 12">
              <controlPr defaultSize="0" print="0" autoFill="0" autoPict="0" macro="[0]!Button_jikkou_Click">
                <anchor moveWithCells="1" sizeWithCells="1">
                  <from>
                    <xdr:col>5</xdr:col>
                    <xdr:colOff>95250</xdr:colOff>
                    <xdr:row>1</xdr:row>
                    <xdr:rowOff>19050</xdr:rowOff>
                  </from>
                  <to>
                    <xdr:col>6</xdr:col>
                    <xdr:colOff>238125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theme="9"/>
  </sheetPr>
  <dimension ref="A1:H6"/>
  <sheetViews>
    <sheetView workbookViewId="0">
      <selection activeCell="E19" sqref="E19"/>
    </sheetView>
  </sheetViews>
  <sheetFormatPr defaultRowHeight="18.75"/>
  <cols>
    <col min="1" max="1" width="13" bestFit="1" customWidth="1"/>
    <col min="5" max="5" width="15.5" bestFit="1" customWidth="1"/>
  </cols>
  <sheetData>
    <row r="1" spans="1:8">
      <c r="A1" s="2" t="s">
        <v>0</v>
      </c>
      <c r="B1" s="2" t="s">
        <v>1</v>
      </c>
      <c r="C1" s="2" t="s">
        <v>2</v>
      </c>
      <c r="D1" s="2" t="s">
        <v>3</v>
      </c>
      <c r="E1" s="2" t="s">
        <v>9</v>
      </c>
      <c r="F1" s="2" t="s">
        <v>12</v>
      </c>
      <c r="G1" s="2" t="s">
        <v>13</v>
      </c>
      <c r="H1" s="2" t="s">
        <v>14</v>
      </c>
    </row>
    <row r="2" spans="1:8">
      <c r="A2" t="s">
        <v>5</v>
      </c>
      <c r="B2" s="2">
        <v>2.02</v>
      </c>
      <c r="C2" s="2" t="s">
        <v>4</v>
      </c>
      <c r="D2" s="2"/>
      <c r="E2" s="2" t="s">
        <v>10</v>
      </c>
      <c r="F2" s="2"/>
      <c r="G2" s="2"/>
      <c r="H2" s="2"/>
    </row>
    <row r="3" spans="1:8">
      <c r="A3" t="s">
        <v>89</v>
      </c>
      <c r="B3" s="2"/>
      <c r="C3" s="2" t="s">
        <v>6</v>
      </c>
      <c r="D3" s="2">
        <v>-0.16200000000000001</v>
      </c>
      <c r="E3" s="2" t="s">
        <v>10</v>
      </c>
      <c r="F3" s="2"/>
      <c r="G3" s="2"/>
      <c r="H3" s="2"/>
    </row>
    <row r="4" spans="1:8">
      <c r="A4" t="s">
        <v>91</v>
      </c>
      <c r="B4" s="2">
        <v>-0.33</v>
      </c>
      <c r="C4" s="2" t="s">
        <v>6</v>
      </c>
      <c r="D4" s="2"/>
      <c r="E4" s="2" t="s">
        <v>11</v>
      </c>
      <c r="F4" s="2"/>
      <c r="G4" s="2"/>
      <c r="H4" s="2"/>
    </row>
    <row r="5" spans="1:8">
      <c r="A5" t="s">
        <v>8</v>
      </c>
      <c r="B5" s="2"/>
      <c r="C5" s="2" t="s">
        <v>6</v>
      </c>
      <c r="D5" s="3">
        <v>802000000000</v>
      </c>
      <c r="E5" s="2" t="s">
        <v>11</v>
      </c>
      <c r="F5" s="2"/>
      <c r="G5" s="2"/>
      <c r="H5" s="2" t="s">
        <v>15</v>
      </c>
    </row>
    <row r="6" spans="1:8">
      <c r="A6" t="s">
        <v>119</v>
      </c>
      <c r="B6" s="2"/>
      <c r="C6" s="2" t="s">
        <v>6</v>
      </c>
      <c r="D6" s="2">
        <v>20000</v>
      </c>
      <c r="E6" s="2" t="s">
        <v>7</v>
      </c>
      <c r="F6" s="2"/>
      <c r="G6" s="2"/>
      <c r="H6" s="2"/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389E3-1AD7-405A-9F72-1401B47B2866}">
  <sheetPr codeName="Sheet6">
    <tabColor theme="9"/>
  </sheetPr>
  <dimension ref="A7:M16"/>
  <sheetViews>
    <sheetView topLeftCell="B7" workbookViewId="0">
      <selection activeCell="K9" sqref="K9:K16"/>
    </sheetView>
  </sheetViews>
  <sheetFormatPr defaultRowHeight="18.75"/>
  <cols>
    <col min="2" max="2" width="10.5" bestFit="1" customWidth="1"/>
    <col min="4" max="4" width="10.5" bestFit="1" customWidth="1"/>
    <col min="5" max="5" width="16" bestFit="1" customWidth="1"/>
    <col min="6" max="6" width="8" customWidth="1"/>
  </cols>
  <sheetData>
    <row r="7" spans="1:13">
      <c r="A7" t="s">
        <v>36</v>
      </c>
      <c r="B7" t="s">
        <v>36</v>
      </c>
      <c r="C7" t="s">
        <v>36</v>
      </c>
      <c r="D7" t="s">
        <v>36</v>
      </c>
      <c r="F7" t="s">
        <v>20</v>
      </c>
      <c r="G7" t="s">
        <v>20</v>
      </c>
      <c r="H7" t="s">
        <v>20</v>
      </c>
      <c r="I7" t="s">
        <v>21</v>
      </c>
      <c r="J7" t="s">
        <v>20</v>
      </c>
      <c r="K7" t="s">
        <v>21</v>
      </c>
      <c r="L7" t="s">
        <v>20</v>
      </c>
      <c r="M7" t="s">
        <v>20</v>
      </c>
    </row>
    <row r="8" spans="1:13">
      <c r="E8" t="s">
        <v>16</v>
      </c>
      <c r="F8" t="s">
        <v>17</v>
      </c>
      <c r="G8" t="s">
        <v>18</v>
      </c>
      <c r="H8" t="s">
        <v>19</v>
      </c>
      <c r="I8" t="s">
        <v>22</v>
      </c>
      <c r="J8" t="s">
        <v>23</v>
      </c>
      <c r="K8" t="s">
        <v>126</v>
      </c>
      <c r="L8" t="s">
        <v>105</v>
      </c>
      <c r="M8" t="s">
        <v>107</v>
      </c>
    </row>
    <row r="9" spans="1:13">
      <c r="E9" t="s">
        <v>30</v>
      </c>
      <c r="F9">
        <v>1</v>
      </c>
      <c r="G9">
        <v>1</v>
      </c>
      <c r="H9">
        <v>1</v>
      </c>
      <c r="I9" s="6">
        <v>5.0999999999999996</v>
      </c>
      <c r="J9">
        <v>-1.2</v>
      </c>
      <c r="K9">
        <v>-3.11</v>
      </c>
      <c r="L9">
        <v>2</v>
      </c>
      <c r="M9">
        <v>-1.1000000000000001</v>
      </c>
    </row>
    <row r="10" spans="1:13">
      <c r="E10" t="s">
        <v>31</v>
      </c>
      <c r="F10">
        <v>2</v>
      </c>
      <c r="G10">
        <v>1</v>
      </c>
      <c r="H10">
        <v>1</v>
      </c>
      <c r="I10" s="6">
        <v>5.0999999999999996</v>
      </c>
      <c r="J10">
        <v>-1.2</v>
      </c>
      <c r="K10">
        <v>-3.11</v>
      </c>
      <c r="L10">
        <v>2</v>
      </c>
      <c r="M10">
        <v>-1.1000000000000001</v>
      </c>
    </row>
    <row r="11" spans="1:13">
      <c r="E11" t="s">
        <v>32</v>
      </c>
      <c r="F11">
        <v>3</v>
      </c>
      <c r="G11">
        <v>1</v>
      </c>
      <c r="H11" s="4">
        <v>1.5</v>
      </c>
      <c r="I11" s="6">
        <v>5.0999999999999996</v>
      </c>
      <c r="J11">
        <v>-1.2</v>
      </c>
      <c r="K11" s="8">
        <v>-3.16</v>
      </c>
      <c r="L11">
        <v>2</v>
      </c>
      <c r="M11" s="21">
        <v>-1.2</v>
      </c>
    </row>
    <row r="12" spans="1:13">
      <c r="E12" t="s">
        <v>33</v>
      </c>
      <c r="F12">
        <v>1</v>
      </c>
      <c r="G12">
        <v>1</v>
      </c>
      <c r="H12" s="4">
        <v>1.5</v>
      </c>
      <c r="I12" s="7">
        <v>5.2</v>
      </c>
      <c r="J12">
        <v>-1.2</v>
      </c>
      <c r="K12" s="8">
        <v>-3.16</v>
      </c>
      <c r="L12">
        <v>2</v>
      </c>
      <c r="M12" s="21">
        <v>-1.2</v>
      </c>
    </row>
    <row r="13" spans="1:13">
      <c r="E13" t="s">
        <v>34</v>
      </c>
      <c r="F13">
        <v>2</v>
      </c>
      <c r="G13">
        <v>1</v>
      </c>
      <c r="H13" s="5">
        <v>2.1</v>
      </c>
      <c r="I13" s="7">
        <v>5.2</v>
      </c>
      <c r="J13">
        <v>-1.2</v>
      </c>
      <c r="K13" s="8">
        <v>-3.16</v>
      </c>
      <c r="L13">
        <v>2</v>
      </c>
      <c r="M13" s="20">
        <v>-1.3</v>
      </c>
    </row>
    <row r="14" spans="1:13">
      <c r="E14" t="s">
        <v>35</v>
      </c>
      <c r="F14">
        <v>3</v>
      </c>
      <c r="G14">
        <v>1</v>
      </c>
      <c r="H14" s="5">
        <v>2.1</v>
      </c>
      <c r="I14" s="7">
        <v>5.2</v>
      </c>
      <c r="J14">
        <v>-1.2</v>
      </c>
      <c r="K14" s="8">
        <v>-3.16</v>
      </c>
      <c r="L14">
        <v>2</v>
      </c>
      <c r="M14" s="20">
        <v>-1.3</v>
      </c>
    </row>
    <row r="15" spans="1:13">
      <c r="E15" t="s">
        <v>102</v>
      </c>
      <c r="F15">
        <v>2</v>
      </c>
      <c r="G15">
        <v>1</v>
      </c>
      <c r="H15" s="5">
        <v>2.1</v>
      </c>
      <c r="I15" s="7">
        <v>5.2</v>
      </c>
      <c r="J15">
        <v>-1.2</v>
      </c>
      <c r="K15" s="8">
        <v>-3.16</v>
      </c>
      <c r="L15">
        <v>2</v>
      </c>
      <c r="M15" s="20">
        <v>-1.3</v>
      </c>
    </row>
    <row r="16" spans="1:13">
      <c r="E16" t="s">
        <v>103</v>
      </c>
      <c r="F16">
        <v>3</v>
      </c>
      <c r="G16">
        <v>1</v>
      </c>
      <c r="H16" s="5">
        <v>2.1</v>
      </c>
      <c r="I16" s="7">
        <v>5.2</v>
      </c>
      <c r="J16">
        <v>-1.2</v>
      </c>
      <c r="K16" s="8">
        <v>-3.16</v>
      </c>
      <c r="L16">
        <v>2</v>
      </c>
      <c r="M16" s="20">
        <v>-1.3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2FB0E-A6D2-4728-9FE3-45F329AEED13}">
  <sheetPr codeName="Sheet7">
    <tabColor theme="9"/>
  </sheetPr>
  <dimension ref="A1:P13"/>
  <sheetViews>
    <sheetView tabSelected="1" workbookViewId="0">
      <selection activeCell="A3" sqref="A3"/>
    </sheetView>
  </sheetViews>
  <sheetFormatPr defaultRowHeight="18.75"/>
  <cols>
    <col min="2" max="2" width="9.5" bestFit="1" customWidth="1"/>
    <col min="7" max="7" width="9.5" bestFit="1" customWidth="1"/>
    <col min="9" max="9" width="9.5" bestFit="1" customWidth="1"/>
    <col min="10" max="10" width="10.375" bestFit="1" customWidth="1"/>
    <col min="12" max="12" width="9.5" bestFit="1" customWidth="1"/>
  </cols>
  <sheetData>
    <row r="1" spans="1:16">
      <c r="E1" s="9" t="s">
        <v>43</v>
      </c>
      <c r="F1" t="s">
        <v>46</v>
      </c>
      <c r="G1" t="s">
        <v>120</v>
      </c>
      <c r="H1" t="s">
        <v>51</v>
      </c>
      <c r="I1" t="s">
        <v>51</v>
      </c>
      <c r="J1" t="s">
        <v>51</v>
      </c>
      <c r="K1" t="s">
        <v>51</v>
      </c>
      <c r="L1" t="s">
        <v>121</v>
      </c>
      <c r="M1" t="s">
        <v>7</v>
      </c>
      <c r="N1" t="s">
        <v>7</v>
      </c>
      <c r="O1" t="s">
        <v>40</v>
      </c>
      <c r="P1" t="s">
        <v>51</v>
      </c>
    </row>
    <row r="2" spans="1:16">
      <c r="A2" s="9" t="s">
        <v>37</v>
      </c>
      <c r="B2" t="s">
        <v>19</v>
      </c>
      <c r="C2" t="s">
        <v>22</v>
      </c>
      <c r="D2" t="s">
        <v>126</v>
      </c>
      <c r="E2" s="9" t="s">
        <v>118</v>
      </c>
      <c r="F2" t="s">
        <v>45</v>
      </c>
      <c r="G2" t="s">
        <v>52</v>
      </c>
      <c r="H2" t="s">
        <v>53</v>
      </c>
      <c r="I2" t="s">
        <v>54</v>
      </c>
      <c r="J2" t="s">
        <v>55</v>
      </c>
      <c r="K2" t="s">
        <v>56</v>
      </c>
      <c r="L2" t="s">
        <v>57</v>
      </c>
      <c r="M2" t="s">
        <v>58</v>
      </c>
      <c r="N2" t="s">
        <v>59</v>
      </c>
      <c r="O2" t="s">
        <v>60</v>
      </c>
      <c r="P2" t="s">
        <v>112</v>
      </c>
    </row>
    <row r="3" spans="1:16">
      <c r="A3" s="9" t="s">
        <v>38</v>
      </c>
      <c r="B3" s="1" t="s">
        <v>41</v>
      </c>
      <c r="C3" s="1" t="s">
        <v>41</v>
      </c>
      <c r="D3" s="1" t="s">
        <v>41</v>
      </c>
      <c r="E3" s="9" t="s">
        <v>37</v>
      </c>
      <c r="F3" t="s">
        <v>89</v>
      </c>
      <c r="G3" t="s">
        <v>91</v>
      </c>
      <c r="H3" t="s">
        <v>93</v>
      </c>
      <c r="I3" t="s">
        <v>8</v>
      </c>
      <c r="J3" t="s">
        <v>47</v>
      </c>
      <c r="K3" t="s">
        <v>48</v>
      </c>
      <c r="L3" t="s">
        <v>5</v>
      </c>
      <c r="M3" t="s">
        <v>109</v>
      </c>
      <c r="N3" t="s">
        <v>119</v>
      </c>
      <c r="O3" t="s">
        <v>110</v>
      </c>
      <c r="P3" t="s">
        <v>111</v>
      </c>
    </row>
    <row r="4" spans="1:16">
      <c r="A4" s="9" t="s">
        <v>39</v>
      </c>
      <c r="B4" t="s">
        <v>42</v>
      </c>
      <c r="C4" t="s">
        <v>42</v>
      </c>
      <c r="D4" t="s">
        <v>42</v>
      </c>
      <c r="E4" s="9" t="s">
        <v>44</v>
      </c>
      <c r="F4" t="s">
        <v>49</v>
      </c>
      <c r="G4" t="s">
        <v>50</v>
      </c>
      <c r="H4" t="s">
        <v>50</v>
      </c>
      <c r="I4" t="s">
        <v>115</v>
      </c>
      <c r="J4" t="s">
        <v>116</v>
      </c>
      <c r="K4" t="s">
        <v>117</v>
      </c>
      <c r="L4" t="s">
        <v>114</v>
      </c>
      <c r="M4" t="s">
        <v>113</v>
      </c>
      <c r="N4" t="s">
        <v>7</v>
      </c>
      <c r="O4" t="s">
        <v>114</v>
      </c>
      <c r="P4" t="s">
        <v>114</v>
      </c>
    </row>
    <row r="5" spans="1:16">
      <c r="A5" t="s">
        <v>24</v>
      </c>
      <c r="B5">
        <v>1</v>
      </c>
      <c r="C5" s="6">
        <v>5.0999999999999996</v>
      </c>
      <c r="D5">
        <v>-3.11</v>
      </c>
      <c r="E5" t="s">
        <v>24</v>
      </c>
      <c r="F5" s="1">
        <v>0.65700000000000003</v>
      </c>
      <c r="G5" s="1">
        <v>0.23799999999999999</v>
      </c>
      <c r="H5" s="1">
        <v>6.1600000000000002E-2</v>
      </c>
      <c r="I5" s="1">
        <v>2.33</v>
      </c>
      <c r="J5" s="1">
        <v>-27</v>
      </c>
      <c r="K5" s="1">
        <v>1.1E-40</v>
      </c>
      <c r="L5" s="1">
        <v>2.33</v>
      </c>
      <c r="M5" s="1">
        <v>0.4</v>
      </c>
      <c r="N5" s="1">
        <v>0.38</v>
      </c>
      <c r="O5" s="1">
        <v>0.2</v>
      </c>
      <c r="P5" s="1">
        <v>0.19</v>
      </c>
    </row>
    <row r="6" spans="1:16">
      <c r="A6" t="s">
        <v>25</v>
      </c>
      <c r="B6">
        <v>1</v>
      </c>
      <c r="C6" s="6">
        <v>5.0999999999999996</v>
      </c>
      <c r="D6">
        <v>-3.11</v>
      </c>
      <c r="E6" t="s">
        <v>25</v>
      </c>
      <c r="F6" s="1">
        <v>0.65700000000000003</v>
      </c>
      <c r="G6" s="1">
        <v>0.23799999999999999</v>
      </c>
      <c r="H6" s="1">
        <v>6.1800000000000001E-2</v>
      </c>
      <c r="I6" s="1">
        <v>2.23</v>
      </c>
      <c r="J6" s="1">
        <v>-27</v>
      </c>
      <c r="K6" s="1">
        <v>1.5000000000000001E-40</v>
      </c>
      <c r="L6" s="1">
        <v>2.31</v>
      </c>
      <c r="M6" s="1">
        <v>0.40100000000000002</v>
      </c>
      <c r="N6" s="1">
        <v>0.38</v>
      </c>
      <c r="O6" s="1">
        <v>0.21</v>
      </c>
      <c r="P6" s="1">
        <v>0.18</v>
      </c>
    </row>
    <row r="7" spans="1:16">
      <c r="A7" t="s">
        <v>26</v>
      </c>
      <c r="B7" s="4">
        <v>1.5</v>
      </c>
      <c r="C7" s="6">
        <v>5.0999999999999996</v>
      </c>
      <c r="D7" s="8">
        <v>-3.16</v>
      </c>
      <c r="E7" t="s">
        <v>26</v>
      </c>
      <c r="F7" s="1">
        <v>0.65700000000000003</v>
      </c>
      <c r="G7" s="1">
        <v>0.23799999999999999</v>
      </c>
      <c r="H7" s="1">
        <v>6.2E-2</v>
      </c>
      <c r="I7" s="1">
        <v>2.13</v>
      </c>
      <c r="J7" s="1">
        <v>-27</v>
      </c>
      <c r="K7" s="1">
        <v>9.0000000000000002E-41</v>
      </c>
      <c r="L7" s="1">
        <v>2.29</v>
      </c>
      <c r="M7" s="1">
        <v>0.39800000000000002</v>
      </c>
      <c r="N7" s="1">
        <v>0.38</v>
      </c>
      <c r="O7" s="1">
        <v>0.22</v>
      </c>
      <c r="P7" s="1">
        <v>0.17</v>
      </c>
    </row>
    <row r="8" spans="1:16">
      <c r="A8" t="s">
        <v>27</v>
      </c>
      <c r="B8" s="4">
        <v>1.5</v>
      </c>
      <c r="C8" s="7">
        <v>5.2</v>
      </c>
      <c r="D8" s="8">
        <v>-3.16</v>
      </c>
      <c r="E8" t="s">
        <v>27</v>
      </c>
      <c r="F8" s="1">
        <v>0.65700000000000003</v>
      </c>
      <c r="G8" s="1">
        <v>0.23799999999999999</v>
      </c>
      <c r="H8" s="1">
        <v>6.2199999999999998E-2</v>
      </c>
      <c r="I8" s="1">
        <v>2.0299999999999998</v>
      </c>
      <c r="J8" s="1">
        <v>-27</v>
      </c>
      <c r="K8" s="1">
        <v>2.3E-40</v>
      </c>
      <c r="L8" s="1">
        <v>2.27</v>
      </c>
      <c r="M8" s="1">
        <v>0.397666666666667</v>
      </c>
      <c r="N8" s="1">
        <v>0.38</v>
      </c>
      <c r="O8" s="1">
        <v>0.23</v>
      </c>
      <c r="P8" s="1">
        <v>0.16</v>
      </c>
    </row>
    <row r="9" spans="1:16">
      <c r="A9" t="s">
        <v>28</v>
      </c>
      <c r="B9" s="5">
        <v>2.1</v>
      </c>
      <c r="C9" s="7">
        <v>5.2</v>
      </c>
      <c r="D9" s="8">
        <v>-3.16</v>
      </c>
      <c r="E9" t="s">
        <v>28</v>
      </c>
      <c r="F9" s="1">
        <v>0.65700000000000003</v>
      </c>
      <c r="G9" s="1">
        <v>0.23799999999999999</v>
      </c>
      <c r="H9" s="1">
        <v>6.2399999999999997E-2</v>
      </c>
      <c r="I9" s="1">
        <v>1.93</v>
      </c>
      <c r="J9" s="1">
        <v>-27</v>
      </c>
      <c r="K9" s="1">
        <v>2.7000000000000001E-40</v>
      </c>
      <c r="L9" s="1">
        <v>2.25</v>
      </c>
      <c r="M9" s="1">
        <v>0.396666666666667</v>
      </c>
      <c r="N9" s="1">
        <v>0.38</v>
      </c>
      <c r="O9" s="1">
        <v>0.24</v>
      </c>
      <c r="P9" s="1">
        <v>0.15</v>
      </c>
    </row>
    <row r="10" spans="1:16">
      <c r="A10" t="s">
        <v>29</v>
      </c>
      <c r="B10" s="5">
        <v>2.1</v>
      </c>
      <c r="C10" s="7">
        <v>5.2</v>
      </c>
      <c r="D10" s="8">
        <v>-3.16</v>
      </c>
      <c r="E10" t="s">
        <v>29</v>
      </c>
      <c r="F10" s="1">
        <v>0.65700000000000003</v>
      </c>
      <c r="G10" s="1">
        <v>0.23799999999999999</v>
      </c>
      <c r="H10" s="1">
        <v>6.2600000000000003E-2</v>
      </c>
      <c r="I10" s="1">
        <v>1.83</v>
      </c>
      <c r="J10" s="1">
        <v>-27</v>
      </c>
      <c r="K10" s="1">
        <v>3.1000000000000001E-40</v>
      </c>
      <c r="L10" s="1">
        <v>2.23</v>
      </c>
      <c r="M10" s="1">
        <v>0.395666666666667</v>
      </c>
      <c r="N10" s="1">
        <v>0.38</v>
      </c>
      <c r="O10" s="1">
        <v>0.25</v>
      </c>
      <c r="P10" s="1">
        <v>0.14000000000000001</v>
      </c>
    </row>
    <row r="11" spans="1:16">
      <c r="A11" t="s">
        <v>127</v>
      </c>
      <c r="B11" s="5">
        <v>2.1</v>
      </c>
      <c r="C11" s="7">
        <v>5.2</v>
      </c>
      <c r="D11" s="8">
        <v>-3.16</v>
      </c>
      <c r="E11" t="s">
        <v>127</v>
      </c>
      <c r="F11" s="1">
        <v>0.65700000000000003</v>
      </c>
      <c r="G11" s="1">
        <v>0.23799999999999999</v>
      </c>
      <c r="H11" s="1">
        <v>6.2799999999999995E-2</v>
      </c>
      <c r="I11" s="1">
        <v>1.73</v>
      </c>
      <c r="J11" s="1">
        <v>-27</v>
      </c>
      <c r="K11" s="1">
        <v>3.5000000000000002E-40</v>
      </c>
      <c r="L11" s="1">
        <v>2.21</v>
      </c>
      <c r="M11" s="1">
        <v>0.394666666666667</v>
      </c>
      <c r="N11" s="1">
        <v>0.38</v>
      </c>
      <c r="O11" s="1">
        <v>0.26</v>
      </c>
      <c r="P11" s="1">
        <v>0.13</v>
      </c>
    </row>
    <row r="12" spans="1:16">
      <c r="A12" t="s">
        <v>128</v>
      </c>
      <c r="B12" s="5">
        <v>2.1</v>
      </c>
      <c r="C12" s="7">
        <v>5.2</v>
      </c>
      <c r="D12" s="8">
        <v>-3.16</v>
      </c>
      <c r="E12" t="s">
        <v>128</v>
      </c>
      <c r="F12" s="1">
        <v>0.65700000000000003</v>
      </c>
      <c r="G12" s="1">
        <v>0.23799999999999999</v>
      </c>
      <c r="H12" s="1">
        <v>6.3E-2</v>
      </c>
      <c r="I12" s="1">
        <v>1.63</v>
      </c>
      <c r="J12" s="1">
        <v>-27</v>
      </c>
      <c r="K12" s="1">
        <v>3.8999999999999998E-40</v>
      </c>
      <c r="L12" s="1">
        <v>2.19</v>
      </c>
      <c r="M12" s="1">
        <v>0.393666666666667</v>
      </c>
      <c r="N12" s="1">
        <v>0.38</v>
      </c>
      <c r="O12" s="1">
        <v>0.27</v>
      </c>
      <c r="P12" s="1">
        <v>0.12</v>
      </c>
    </row>
    <row r="13" spans="1:16"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</row>
  </sheetData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561897-D6BD-4693-962C-F5D32B2CC943}">
  <sheetPr codeName="Sheet10">
    <tabColor rgb="FFFFFF00"/>
  </sheetPr>
  <dimension ref="A1:F7"/>
  <sheetViews>
    <sheetView workbookViewId="0">
      <selection activeCell="G12" sqref="G12"/>
    </sheetView>
  </sheetViews>
  <sheetFormatPr defaultRowHeight="18.75"/>
  <sheetData>
    <row r="1" spans="1:6">
      <c r="A1" t="s">
        <v>124</v>
      </c>
      <c r="B1" t="s">
        <v>88</v>
      </c>
      <c r="C1" t="s">
        <v>90</v>
      </c>
      <c r="D1" t="s">
        <v>108</v>
      </c>
      <c r="E1" t="s">
        <v>122</v>
      </c>
      <c r="F1" t="s">
        <v>123</v>
      </c>
    </row>
    <row r="2" spans="1:6">
      <c r="A2" t="s">
        <v>24</v>
      </c>
      <c r="B2">
        <v>0.65700000000000003</v>
      </c>
      <c r="C2">
        <v>0.23799999999999999</v>
      </c>
      <c r="D2">
        <v>2.33</v>
      </c>
      <c r="E2">
        <v>2.33</v>
      </c>
      <c r="F2">
        <v>0.38</v>
      </c>
    </row>
    <row r="3" spans="1:6">
      <c r="A3" t="s">
        <v>25</v>
      </c>
      <c r="B3">
        <v>0.65700000000000003</v>
      </c>
      <c r="C3">
        <v>0.23799999999999999</v>
      </c>
      <c r="D3">
        <v>2.23</v>
      </c>
      <c r="E3">
        <v>2.31</v>
      </c>
      <c r="F3">
        <v>0.38</v>
      </c>
    </row>
    <row r="4" spans="1:6">
      <c r="A4" t="s">
        <v>26</v>
      </c>
      <c r="B4">
        <v>0.65700000000000003</v>
      </c>
      <c r="C4">
        <v>0.23799999999999999</v>
      </c>
      <c r="D4">
        <v>2.13</v>
      </c>
      <c r="E4">
        <v>2.29</v>
      </c>
      <c r="F4">
        <v>0.38</v>
      </c>
    </row>
    <row r="5" spans="1:6">
      <c r="A5" t="s">
        <v>27</v>
      </c>
      <c r="B5">
        <v>0.65700000000000003</v>
      </c>
      <c r="C5">
        <v>0.23799999999999999</v>
      </c>
      <c r="D5">
        <v>2.0299999999999998</v>
      </c>
      <c r="E5">
        <v>2.27</v>
      </c>
      <c r="F5">
        <v>0.38</v>
      </c>
    </row>
    <row r="6" spans="1:6">
      <c r="A6" t="s">
        <v>28</v>
      </c>
      <c r="B6">
        <v>0.65700000000000003</v>
      </c>
      <c r="C6">
        <v>0.23799999999999999</v>
      </c>
      <c r="D6">
        <v>1.93</v>
      </c>
      <c r="E6">
        <v>2.25</v>
      </c>
      <c r="F6">
        <v>0.38</v>
      </c>
    </row>
    <row r="7" spans="1:6">
      <c r="A7" t="s">
        <v>29</v>
      </c>
      <c r="B7">
        <v>0.65700000000000003</v>
      </c>
      <c r="C7">
        <v>0.23799999999999999</v>
      </c>
      <c r="D7">
        <v>1.83</v>
      </c>
      <c r="E7">
        <v>2.23</v>
      </c>
      <c r="F7">
        <v>0.38</v>
      </c>
    </row>
  </sheetData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7BD16-7469-4617-BCEB-FC6E2FB95D9A}">
  <sheetPr codeName="Sheet8">
    <tabColor rgb="FFFFFF00"/>
  </sheetPr>
  <dimension ref="A1"/>
  <sheetViews>
    <sheetView workbookViewId="0">
      <selection activeCell="G12" sqref="G12"/>
    </sheetView>
  </sheetViews>
  <sheetFormatPr defaultRowHeight="18.75"/>
  <sheetData/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74138-7DD0-4A81-A6E1-B7B37189A1C3}">
  <sheetPr codeName="Sheet2"/>
  <dimension ref="A1"/>
  <sheetViews>
    <sheetView workbookViewId="0">
      <selection activeCell="D19" sqref="D19"/>
    </sheetView>
  </sheetViews>
  <sheetFormatPr defaultRowHeight="18.75"/>
  <sheetData/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8C8A5C-8EA9-4670-88CE-415799336B5D}">
  <sheetPr codeName="Sheet3"/>
  <dimension ref="B1:P17"/>
  <sheetViews>
    <sheetView topLeftCell="B1" zoomScale="70" zoomScaleNormal="70" workbookViewId="0">
      <selection activeCell="I20" sqref="I20"/>
    </sheetView>
  </sheetViews>
  <sheetFormatPr defaultRowHeight="18.75"/>
  <cols>
    <col min="3" max="4" width="9.5" bestFit="1" customWidth="1"/>
    <col min="5" max="5" width="10" bestFit="1" customWidth="1"/>
    <col min="6" max="6" width="18" bestFit="1" customWidth="1"/>
    <col min="7" max="7" width="19.75" bestFit="1" customWidth="1"/>
    <col min="10" max="10" width="13.5" customWidth="1"/>
    <col min="11" max="11" width="10.875" bestFit="1" customWidth="1"/>
    <col min="12" max="12" width="18" bestFit="1" customWidth="1"/>
    <col min="13" max="13" width="19.75" bestFit="1" customWidth="1"/>
    <col min="14" max="14" width="18.125" bestFit="1" customWidth="1"/>
  </cols>
  <sheetData>
    <row r="1" spans="2:16">
      <c r="B1" t="s">
        <v>75</v>
      </c>
      <c r="H1" t="s">
        <v>78</v>
      </c>
      <c r="L1" s="10" t="s">
        <v>74</v>
      </c>
      <c r="M1" s="10" t="s">
        <v>74</v>
      </c>
      <c r="N1" s="10" t="s">
        <v>74</v>
      </c>
    </row>
    <row r="2" spans="2:16">
      <c r="B2" t="s">
        <v>62</v>
      </c>
      <c r="C2" t="s">
        <v>64</v>
      </c>
      <c r="D2" t="s">
        <v>66</v>
      </c>
      <c r="E2" s="10" t="s">
        <v>67</v>
      </c>
      <c r="F2" s="10" t="s">
        <v>130</v>
      </c>
      <c r="K2" s="12" t="s">
        <v>67</v>
      </c>
      <c r="L2" s="12" t="s">
        <v>76</v>
      </c>
      <c r="M2" s="12" t="s">
        <v>77</v>
      </c>
      <c r="N2" s="12" t="s">
        <v>79</v>
      </c>
    </row>
    <row r="3" spans="2:16">
      <c r="B3" t="s">
        <v>69</v>
      </c>
      <c r="C3" s="1">
        <v>1000000000000</v>
      </c>
      <c r="D3" s="1">
        <v>3000000000000</v>
      </c>
      <c r="E3" s="10">
        <v>5340000000000</v>
      </c>
      <c r="F3" s="11">
        <v>1.38</v>
      </c>
      <c r="J3" t="s">
        <v>80</v>
      </c>
      <c r="K3" s="14">
        <v>5290000000000</v>
      </c>
      <c r="L3" s="2"/>
      <c r="M3" s="14">
        <v>1</v>
      </c>
      <c r="N3" s="14"/>
    </row>
    <row r="4" spans="2:16">
      <c r="B4" t="s">
        <v>71</v>
      </c>
      <c r="C4" s="1">
        <v>1000000000000</v>
      </c>
      <c r="D4" s="1">
        <v>3000000000000</v>
      </c>
      <c r="E4" s="10">
        <v>5390000000000</v>
      </c>
      <c r="F4" s="11">
        <v>1.41</v>
      </c>
      <c r="K4" s="12">
        <v>5340000000000</v>
      </c>
      <c r="L4" s="13">
        <v>1.38</v>
      </c>
      <c r="M4" s="12">
        <v>2.35</v>
      </c>
      <c r="N4" s="12">
        <v>3.31</v>
      </c>
    </row>
    <row r="5" spans="2:16">
      <c r="B5" t="s">
        <v>73</v>
      </c>
      <c r="C5" s="1">
        <v>1000000000000</v>
      </c>
      <c r="D5" s="1">
        <v>3000000000000</v>
      </c>
      <c r="E5" s="10">
        <v>5440000000000</v>
      </c>
      <c r="F5" s="11">
        <v>1.36</v>
      </c>
      <c r="J5" s="15"/>
      <c r="K5" s="12">
        <v>5390000000000</v>
      </c>
      <c r="L5" s="13">
        <v>1.41</v>
      </c>
      <c r="M5" s="12">
        <v>2.38</v>
      </c>
      <c r="N5" s="12">
        <v>3.34</v>
      </c>
    </row>
    <row r="6" spans="2:16">
      <c r="C6" s="1"/>
      <c r="D6" s="1"/>
      <c r="E6" s="1"/>
      <c r="F6" s="1"/>
      <c r="K6" s="12">
        <v>5440000000000</v>
      </c>
      <c r="L6" s="13">
        <v>1.36</v>
      </c>
      <c r="M6" s="12">
        <v>2.41</v>
      </c>
      <c r="N6" s="12">
        <v>3.37</v>
      </c>
    </row>
    <row r="7" spans="2:16">
      <c r="B7" t="s">
        <v>75</v>
      </c>
      <c r="J7" t="s">
        <v>80</v>
      </c>
      <c r="K7" s="14">
        <v>5490000000000</v>
      </c>
      <c r="L7" s="2"/>
      <c r="M7" s="14">
        <v>1.5</v>
      </c>
      <c r="N7" s="14">
        <v>6</v>
      </c>
      <c r="O7" s="16">
        <v>6</v>
      </c>
    </row>
    <row r="8" spans="2:16">
      <c r="B8" t="s">
        <v>61</v>
      </c>
      <c r="C8" t="s">
        <v>63</v>
      </c>
      <c r="D8" t="s">
        <v>65</v>
      </c>
      <c r="E8" s="10" t="s">
        <v>67</v>
      </c>
      <c r="F8" s="10" t="s">
        <v>130</v>
      </c>
      <c r="J8" t="s">
        <v>80</v>
      </c>
      <c r="K8" s="14">
        <v>5540000000000</v>
      </c>
      <c r="L8" s="2"/>
      <c r="M8" s="14"/>
      <c r="N8" s="14">
        <v>5</v>
      </c>
    </row>
    <row r="9" spans="2:16">
      <c r="B9" t="s">
        <v>68</v>
      </c>
      <c r="C9">
        <v>1500000000000</v>
      </c>
      <c r="D9">
        <v>3000000000000</v>
      </c>
      <c r="E9" s="10">
        <v>5340000000000</v>
      </c>
      <c r="F9" s="10">
        <v>2.35</v>
      </c>
    </row>
    <row r="10" spans="2:16">
      <c r="B10" t="s">
        <v>70</v>
      </c>
      <c r="C10">
        <v>1500000000000</v>
      </c>
      <c r="D10">
        <v>3000000000000</v>
      </c>
      <c r="E10" s="10">
        <v>5390000000000</v>
      </c>
      <c r="F10" s="10">
        <v>2.38</v>
      </c>
    </row>
    <row r="11" spans="2:16">
      <c r="B11" t="s">
        <v>72</v>
      </c>
      <c r="C11">
        <v>1500000000000</v>
      </c>
      <c r="D11">
        <v>3000000000000</v>
      </c>
      <c r="E11" s="10">
        <v>5440000000000</v>
      </c>
      <c r="F11" s="10">
        <v>2.41</v>
      </c>
      <c r="J11" s="15"/>
      <c r="P11" t="s">
        <v>129</v>
      </c>
    </row>
    <row r="12" spans="2:16">
      <c r="P12" t="s">
        <v>131</v>
      </c>
    </row>
    <row r="13" spans="2:16">
      <c r="B13" t="s">
        <v>75</v>
      </c>
      <c r="P13" s="18" t="s">
        <v>87</v>
      </c>
    </row>
    <row r="14" spans="2:16">
      <c r="B14" t="s">
        <v>61</v>
      </c>
      <c r="C14" t="s">
        <v>63</v>
      </c>
      <c r="D14" t="s">
        <v>65</v>
      </c>
      <c r="E14" s="10" t="s">
        <v>67</v>
      </c>
      <c r="F14" s="10" t="s">
        <v>130</v>
      </c>
      <c r="P14" s="18" t="s">
        <v>88</v>
      </c>
    </row>
    <row r="15" spans="2:16">
      <c r="B15" t="s">
        <v>68</v>
      </c>
      <c r="C15">
        <v>2000000000000</v>
      </c>
      <c r="D15">
        <v>3000000000000</v>
      </c>
      <c r="E15" s="10">
        <v>5340000000000</v>
      </c>
      <c r="F15" s="10">
        <v>3.31</v>
      </c>
      <c r="P15" s="18" t="s">
        <v>90</v>
      </c>
    </row>
    <row r="16" spans="2:16">
      <c r="B16" t="s">
        <v>70</v>
      </c>
      <c r="C16">
        <v>2000000000000</v>
      </c>
      <c r="D16">
        <v>3000000000000</v>
      </c>
      <c r="E16" s="10">
        <v>5390000000000</v>
      </c>
      <c r="F16" s="10">
        <v>3.34</v>
      </c>
      <c r="P16" s="18" t="s">
        <v>92</v>
      </c>
    </row>
    <row r="17" spans="2:16">
      <c r="B17" t="s">
        <v>72</v>
      </c>
      <c r="C17">
        <v>2000000000000</v>
      </c>
      <c r="D17">
        <v>3000000000000</v>
      </c>
      <c r="E17" s="10">
        <v>5440000000000</v>
      </c>
      <c r="F17" s="10">
        <v>3.37</v>
      </c>
      <c r="P17" s="18" t="s">
        <v>108</v>
      </c>
    </row>
  </sheetData>
  <phoneticPr fontId="1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0C6B0-7556-4CD8-840C-3293D6E60027}">
  <sheetPr codeName="Sheet4"/>
  <dimension ref="A1:L9"/>
  <sheetViews>
    <sheetView topLeftCell="C1" workbookViewId="0">
      <selection activeCell="K7" sqref="K7"/>
    </sheetView>
  </sheetViews>
  <sheetFormatPr defaultRowHeight="18.75"/>
  <cols>
    <col min="1" max="1" width="37.875" bestFit="1" customWidth="1"/>
    <col min="2" max="2" width="23.25" bestFit="1" customWidth="1"/>
  </cols>
  <sheetData>
    <row r="1" spans="1:12">
      <c r="A1" t="s">
        <v>101</v>
      </c>
      <c r="B1" t="s">
        <v>99</v>
      </c>
      <c r="D1" t="s">
        <v>100</v>
      </c>
    </row>
    <row r="2" spans="1:12">
      <c r="A2" t="s">
        <v>94</v>
      </c>
      <c r="E2" t="s">
        <v>94</v>
      </c>
      <c r="F2" t="s">
        <v>95</v>
      </c>
      <c r="G2" t="s">
        <v>96</v>
      </c>
      <c r="H2" t="s">
        <v>97</v>
      </c>
      <c r="I2" t="s">
        <v>98</v>
      </c>
      <c r="J2" t="s">
        <v>125</v>
      </c>
      <c r="K2" t="s">
        <v>104</v>
      </c>
      <c r="L2" t="s">
        <v>106</v>
      </c>
    </row>
    <row r="3" spans="1:12">
      <c r="A3" t="s">
        <v>95</v>
      </c>
      <c r="E3">
        <v>1</v>
      </c>
      <c r="F3">
        <v>1</v>
      </c>
      <c r="G3">
        <v>1</v>
      </c>
      <c r="H3">
        <v>5.0999999999999996</v>
      </c>
      <c r="I3">
        <v>-1.2</v>
      </c>
      <c r="J3">
        <v>-3.11</v>
      </c>
      <c r="K3">
        <v>2</v>
      </c>
      <c r="L3">
        <v>-1.1000000000000001</v>
      </c>
    </row>
    <row r="4" spans="1:12">
      <c r="A4" t="s">
        <v>96</v>
      </c>
      <c r="E4">
        <v>2</v>
      </c>
      <c r="G4">
        <v>1.5</v>
      </c>
      <c r="H4">
        <v>5.2</v>
      </c>
      <c r="J4">
        <v>-3.16</v>
      </c>
      <c r="L4">
        <v>-1.2</v>
      </c>
    </row>
    <row r="5" spans="1:12">
      <c r="A5" t="s">
        <v>97</v>
      </c>
      <c r="E5">
        <v>3</v>
      </c>
      <c r="G5">
        <v>2.1</v>
      </c>
      <c r="L5">
        <v>-1.3</v>
      </c>
    </row>
    <row r="6" spans="1:12">
      <c r="A6" t="s">
        <v>98</v>
      </c>
    </row>
    <row r="7" spans="1:12">
      <c r="A7" t="s">
        <v>125</v>
      </c>
    </row>
    <row r="8" spans="1:12">
      <c r="A8" t="s">
        <v>104</v>
      </c>
    </row>
    <row r="9" spans="1:12">
      <c r="A9" t="s">
        <v>106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4AB14E-3076-4F1D-AA48-3234B0F1E7A3}">
  <sheetPr codeName="Sheet9"/>
  <dimension ref="A1"/>
  <sheetViews>
    <sheetView workbookViewId="0"/>
  </sheetViews>
  <sheetFormatPr defaultRowHeight="18.75"/>
  <sheetData/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グラフ作成</vt:lpstr>
      <vt:lpstr>設定ファイル</vt:lpstr>
      <vt:lpstr>条件表</vt:lpstr>
      <vt:lpstr>DataTable</vt:lpstr>
      <vt:lpstr>サマリ</vt:lpstr>
      <vt:lpstr>散布図</vt:lpstr>
      <vt:lpstr>結果グラフ_サマリ</vt:lpstr>
      <vt:lpstr>例_散布図</vt:lpstr>
      <vt:lpstr>work_graph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kuroda</dc:creator>
  <cp:lastModifiedBy>kuroda</cp:lastModifiedBy>
  <dcterms:created xsi:type="dcterms:W3CDTF">2015-06-05T18:19:34Z</dcterms:created>
  <dcterms:modified xsi:type="dcterms:W3CDTF">2021-08-05T10:03:15Z</dcterms:modified>
</cp:coreProperties>
</file>