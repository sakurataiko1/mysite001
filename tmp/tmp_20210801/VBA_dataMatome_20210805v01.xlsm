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F5A2F9C2-6532-4A61-A8D1-C09B2E6FC41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1" r:id="rId2"/>
    <sheet name="条件表" sheetId="3" r:id="rId3"/>
    <sheet name="DataTable" sheetId="2" r:id="rId4"/>
    <sheet name="サマリ" sheetId="10" r:id="rId5"/>
    <sheet name="散布図" sheetId="8" r:id="rId6"/>
    <sheet name="結果グラフ_サマリ" sheetId="5" r:id="rId7"/>
    <sheet name="例_散布図" sheetId="4" r:id="rId8"/>
    <sheet name="work_graph" sheetId="7" r:id="rId9"/>
    <sheet name="Sheet1" sheetId="9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B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E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J13" authorId="0" shapeId="0" xr:uid="{E390A1A0-4CA7-4BA4-A982-06265BC66EB5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sharedStrings.xml><?xml version="1.0" encoding="utf-8"?>
<sst xmlns="http://schemas.openxmlformats.org/spreadsheetml/2006/main" count="233" uniqueCount="135">
  <si>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</si>
  <si>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</si>
  <si>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</si>
  <si>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</si>
  <si>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</si>
  <si>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</si>
  <si>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</si>
  <si>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Qs</t>
    <phoneticPr fontId="1"/>
  </si>
  <si>
    <t>tokuA</t>
    <phoneticPr fontId="1"/>
  </si>
  <si>
    <t>TGoff/TGon/Qs</t>
    <phoneticPr fontId="1"/>
  </si>
  <si>
    <t>TGoff</t>
    <phoneticPr fontId="1"/>
  </si>
  <si>
    <t>TGon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</si>
  <si>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</si>
  <si>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</si>
  <si>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</si>
  <si>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</si>
  <si>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</si>
  <si>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</si>
  <si>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matB</t>
    <phoneticPr fontId="1"/>
  </si>
  <si>
    <t>CWL1</t>
    <phoneticPr fontId="1"/>
  </si>
  <si>
    <t>e12</t>
    <phoneticPr fontId="1"/>
  </si>
  <si>
    <t>e11</t>
    <phoneticPr fontId="1"/>
  </si>
  <si>
    <t>matD</t>
    <phoneticPr fontId="1"/>
  </si>
  <si>
    <t>matE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</si>
  <si>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</si>
  <si>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</si>
  <si>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</si>
  <si>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</si>
  <si>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</si>
  <si>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</si>
  <si>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</si>
  <si>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</si>
  <si>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</si>
  <si>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</si>
  <si>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</si>
  <si>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</si>
  <si>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</si>
  <si>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</si>
  <si>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</si>
  <si>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</si>
  <si>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</si>
  <si>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</si>
  <si>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</si>
  <si>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</si>
  <si>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</si>
  <si>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</si>
  <si>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</si>
  <si>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</si>
  <si>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</si>
  <si>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</si>
  <si>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</si>
  <si>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</si>
  <si>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</si>
  <si>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</si>
  <si>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</si>
  <si>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</si>
  <si>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</si>
  <si>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</si>
  <si>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Extract8</t>
  </si>
  <si>
    <t>Extract9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</si>
  <si>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</si>
  <si>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</si>
  <si>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</si>
  <si>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</si>
  <si>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</si>
  <si>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</si>
  <si>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</si>
  <si>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</si>
  <si>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</si>
  <si>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</si>
  <si>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</si>
  <si>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</si>
  <si>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</si>
  <si>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</si>
  <si>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</si>
  <si>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</si>
  <si>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</si>
  <si>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</si>
  <si>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</si>
  <si>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</si>
  <si>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</si>
  <si>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</si>
  <si>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グルーピングしたいパラメータを赤色でハッチしてください</t>
    <rPh sb="15" eb="17">
      <t>アカイロ</t>
    </rPh>
    <phoneticPr fontId="1"/>
  </si>
  <si>
    <t>■ speedデータまとめマクロ</t>
    <phoneticPr fontId="1"/>
  </si>
  <si>
    <t>設定したいものを赤色でハッチしてください</t>
    <rPh sb="0" eb="2">
      <t>セッテイ</t>
    </rPh>
    <rPh sb="8" eb="10">
      <t>アカイロ</t>
    </rPh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</si>
  <si>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</si>
  <si>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</si>
  <si>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</si>
  <si>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</si>
  <si>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</si>
  <si>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</si>
  <si>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</si>
  <si>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</si>
  <si>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</si>
  <si>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matA</t>
  </si>
  <si>
    <t>CWL1</t>
  </si>
  <si>
    <t>グラフ作成 散布図　Y軸</t>
    <rPh sb="3" eb="5">
      <t>サクセイ</t>
    </rPh>
    <rPh sb="6" eb="9">
      <t>サンプズ</t>
    </rPh>
    <rPh sb="11" eb="12">
      <t>ジク</t>
    </rPh>
    <phoneticPr fontId="1"/>
  </si>
  <si>
    <t>グラフ作成 散布図　X軸 コンボボックス・グルーピング</t>
    <rPh sb="3" eb="5">
      <t>サクセイ</t>
    </rPh>
    <rPh sb="6" eb="9">
      <t>サンプズ</t>
    </rPh>
    <rPh sb="11" eb="12">
      <t>ジク</t>
    </rPh>
    <phoneticPr fontId="1"/>
  </si>
  <si>
    <t>グラフ作成 散布図　X軸コンボボックス</t>
    <rPh sb="3" eb="5">
      <t>サクセイ</t>
    </rPh>
    <rPh sb="6" eb="9">
      <t>サンプズ</t>
    </rPh>
    <rPh sb="11" eb="12">
      <t>ジク</t>
    </rPh>
    <phoneticPr fontId="1"/>
  </si>
  <si>
    <t>01_TGon/imp07</t>
  </si>
  <si>
    <t>01_TGon/imp08</t>
  </si>
  <si>
    <t>tokuA</t>
  </si>
  <si>
    <t>Qs01</t>
    <phoneticPr fontId="1"/>
  </si>
  <si>
    <t>TEST01</t>
    <phoneticPr fontId="1"/>
  </si>
  <si>
    <t>ZTEST01</t>
    <phoneticPr fontId="1"/>
  </si>
  <si>
    <t>Extract11</t>
  </si>
  <si>
    <t>Qs</t>
    <phoneticPr fontId="1"/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</si>
  <si>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</si>
  <si>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</si>
  <si>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</si>
  <si>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</si>
  <si>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</si>
  <si>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</si>
  <si>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</si>
  <si>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</si>
  <si>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</si>
  <si>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</si>
  <si>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Name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</si>
  <si>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</si>
  <si>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</si>
  <si>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</si>
  <si>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</si>
  <si>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</si>
  <si>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1SR</t>
  </si>
  <si>
    <t>matC</t>
  </si>
  <si>
    <t>matC</t>
    <phoneticPr fontId="1"/>
  </si>
  <si>
    <t>As</t>
    <phoneticPr fontId="1"/>
  </si>
  <si>
    <t>B</t>
    <phoneticPr fontId="1"/>
  </si>
  <si>
    <t>300kev</t>
    <phoneticPr fontId="1"/>
  </si>
  <si>
    <t>30kev</t>
    <phoneticPr fontId="1"/>
  </si>
  <si>
    <t>150kev</t>
    <phoneticPr fontId="1"/>
  </si>
  <si>
    <t>100kev</t>
    <phoneticPr fontId="1"/>
  </si>
  <si>
    <t>200kev</t>
    <phoneticPr fontId="1"/>
  </si>
  <si>
    <t>1000kev</t>
    <phoneticPr fontId="1"/>
  </si>
  <si>
    <t>1200kev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</si>
</sst>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9"/>
      <color rgb="FF000000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1" fontId="0" fillId="8" borderId="0" xfId="0" applyNumberFormat="1" applyFill="1"/>
    <xf numFmtId="0" fontId="0" fillId="8" borderId="1" xfId="0" applyFill="1" applyBorder="1"/>
    <xf numFmtId="0" fontId="0" fillId="8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9" borderId="0" xfId="0" applyFill="1"/>
    <xf numFmtId="0" fontId="0" fillId="9" borderId="1" xfId="0" applyFill="1" applyBorder="1"/>
    <xf numFmtId="0" fontId="4" fillId="9" borderId="0" xfId="0" applyFont="1" applyFill="1"/>
    <xf numFmtId="0" fontId="0" fillId="12" borderId="1" xfId="0" applyFill="1" applyBorder="1"/>
    <xf numFmtId="0" fontId="0" fillId="4" borderId="1" xfId="0" applyFill="1" applyBorder="1"/>
    <xf numFmtId="0" fontId="0" fillId="2" borderId="1" xfId="0" applyFill="1" applyBorder="1"/>
    <xf numFmtId="0" fontId="0" fillId="6" borderId="1" xfId="0" applyFill="1" applyBorder="1"/>
    <xf numFmtId="0" fontId="0" fillId="11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10" borderId="1" xfId="0" applyFill="1" applyBorder="1"/>
    <xf numFmtId="0" fontId="0" fillId="13" borderId="1" xfId="0" applyFill="1" applyBorder="1"/>
    <xf numFmtId="0" fontId="0" fillId="14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サマリ!$B$2:$B$9</c:f>
              <c:numCache>
                <c:formatCode>General</c:formatCode>
                <c:ptCount val="8"/>
                <c:pt idx="0">
                  <c:v>2.33</c:v>
                </c:pt>
                <c:pt idx="1">
                  <c:v>2.31</c:v>
                </c:pt>
                <c:pt idx="2">
                  <c:v>2.29</c:v>
                </c:pt>
                <c:pt idx="3">
                  <c:v>2.27</c:v>
                </c:pt>
                <c:pt idx="4">
                  <c:v>2.25</c:v>
                </c:pt>
                <c:pt idx="5">
                  <c:v>2.23</c:v>
                </c:pt>
                <c:pt idx="6">
                  <c:v>2.21</c:v>
                </c:pt>
                <c:pt idx="7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C6-4641-B1AC-F16215C2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94432"/>
        <c:axId val="474594760"/>
      </c:lineChart>
      <c:catAx>
        <c:axId val="47459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594760"/>
        <c:crosses val="autoZero"/>
        <c:auto val="1"/>
        <c:lblAlgn val="ctr"/>
        <c:lblOffset val="100"/>
        <c:noMultiLvlLbl val="0"/>
      </c:catAx>
      <c:valAx>
        <c:axId val="47459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594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サマリ!$C$2:$C$9</c:f>
              <c:numCache>
                <c:formatCode>General</c:formatCode>
                <c:ptCount val="8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3-4C02-9491-9FBFCBC1C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94432"/>
        <c:axId val="474594760"/>
      </c:lineChart>
      <c:catAx>
        <c:axId val="47459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594760"/>
        <c:crosses val="autoZero"/>
        <c:auto val="1"/>
        <c:lblAlgn val="ctr"/>
        <c:lblOffset val="100"/>
        <c:noMultiLvlLbl val="0"/>
      </c:catAx>
      <c:valAx>
        <c:axId val="47459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594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toku1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toku1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サマリ!$D$2:$D$9</c:f>
              <c:numCache>
                <c:formatCode>General</c:formatCode>
                <c:ptCount val="8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9-4E0C-9A97-8F2FA952E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94432"/>
        <c:axId val="474594760"/>
      </c:lineChart>
      <c:catAx>
        <c:axId val="47459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594760"/>
        <c:crosses val="autoZero"/>
        <c:auto val="1"/>
        <c:lblAlgn val="ctr"/>
        <c:lblOffset val="100"/>
        <c:noMultiLvlLbl val="0"/>
      </c:catAx>
      <c:valAx>
        <c:axId val="47459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594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toku2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サマリ!$E$1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サマリ!$E$2:$E$9</c:f>
              <c:numCache>
                <c:formatCode>General</c:formatCode>
                <c:ptCount val="8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C-48EA-9DE0-FA6D2EED5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94432"/>
        <c:axId val="474594760"/>
      </c:lineChart>
      <c:catAx>
        <c:axId val="47459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594760"/>
        <c:crosses val="autoZero"/>
        <c:auto val="1"/>
        <c:lblAlgn val="ctr"/>
        <c:lblOffset val="100"/>
        <c:noMultiLvlLbl val="0"/>
      </c:catAx>
      <c:valAx>
        <c:axId val="47459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594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サマリ!$F$1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サマリ!$F$1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サマリ!$F$2:$F$9</c:f>
              <c:numCache>
                <c:formatCode>General</c:formatCode>
                <c:ptCount val="8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D-41DD-9837-B542885C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94432"/>
        <c:axId val="474594760"/>
      </c:lineChart>
      <c:catAx>
        <c:axId val="47459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594760"/>
        <c:crosses val="autoZero"/>
        <c:auto val="1"/>
        <c:lblAlgn val="ctr"/>
        <c:lblOffset val="100"/>
        <c:noMultiLvlLbl val="0"/>
      </c:catAx>
      <c:valAx>
        <c:axId val="47459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594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C$14" fmlaRange="work_graph!A2:A6" noThreeD="1" sel="1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57150</xdr:rowOff>
        </xdr:from>
        <xdr:to>
          <xdr:col>2</xdr:col>
          <xdr:colOff>542925</xdr:colOff>
          <xdr:row>13</xdr:row>
          <xdr:rowOff>85725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6</xdr:col>
          <xdr:colOff>238125</xdr:colOff>
          <xdr:row>2</xdr:row>
          <xdr:rowOff>85725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16</xdr:col>
      <xdr:colOff>457200</xdr:colOff>
      <xdr:row>12</xdr:row>
      <xdr:rowOff>123825</xdr:rowOff>
    </xdr:to>
    <xdr:graphicFrame macro="">
      <xdr:nvGraphicFramePr>
        <xdr:cNvPr id="12" name="sim_graph1">
          <a:extLst>
            <a:ext uri="{FF2B5EF4-FFF2-40B4-BE49-F238E27FC236}">
              <a16:creationId xmlns:a16="http://schemas.microsoft.com/office/drawing/2014/main" id="{0F971F80-B748-47C9-BE35-03833A794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16</xdr:col>
      <xdr:colOff>457200</xdr:colOff>
      <xdr:row>25</xdr:row>
      <xdr:rowOff>123825</xdr:rowOff>
    </xdr:to>
    <xdr:graphicFrame macro="">
      <xdr:nvGraphicFramePr>
        <xdr:cNvPr id="33" name="グラフ 2">
          <a:extLst>
            <a:ext uri="{FF2B5EF4-FFF2-40B4-BE49-F238E27FC236}">
              <a16:creationId xmlns:a16="http://schemas.microsoft.com/office/drawing/2014/main" id="{AFEE0299-D127-45F1-B039-532E2B48D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16</xdr:col>
      <xdr:colOff>457200</xdr:colOff>
      <xdr:row>40</xdr:row>
      <xdr:rowOff>123825</xdr:rowOff>
    </xdr:to>
    <xdr:graphicFrame macro="">
      <xdr:nvGraphicFramePr>
        <xdr:cNvPr id="34" name="グラフ 3">
          <a:extLst>
            <a:ext uri="{FF2B5EF4-FFF2-40B4-BE49-F238E27FC236}">
              <a16:creationId xmlns:a16="http://schemas.microsoft.com/office/drawing/2014/main" id="{F345CCC1-187E-4236-90F0-54687C849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44</xdr:row>
      <xdr:rowOff>0</xdr:rowOff>
    </xdr:from>
    <xdr:to>
      <xdr:col>16</xdr:col>
      <xdr:colOff>457200</xdr:colOff>
      <xdr:row>55</xdr:row>
      <xdr:rowOff>123825</xdr:rowOff>
    </xdr:to>
    <xdr:graphicFrame macro="">
      <xdr:nvGraphicFramePr>
        <xdr:cNvPr id="35" name="グラフ 4">
          <a:extLst>
            <a:ext uri="{FF2B5EF4-FFF2-40B4-BE49-F238E27FC236}">
              <a16:creationId xmlns:a16="http://schemas.microsoft.com/office/drawing/2014/main" id="{71008C06-26AB-4C9A-8194-0B57551F0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59</xdr:row>
      <xdr:rowOff>0</xdr:rowOff>
    </xdr:from>
    <xdr:to>
      <xdr:col>16</xdr:col>
      <xdr:colOff>457200</xdr:colOff>
      <xdr:row>70</xdr:row>
      <xdr:rowOff>123825</xdr:rowOff>
    </xdr:to>
    <xdr:graphicFrame macro="">
      <xdr:nvGraphicFramePr>
        <xdr:cNvPr id="36" name="グラフ 5">
          <a:extLst>
            <a:ext uri="{FF2B5EF4-FFF2-40B4-BE49-F238E27FC236}">
              <a16:creationId xmlns:a16="http://schemas.microsoft.com/office/drawing/2014/main" id="{C21E8655-13E7-45D8-A3B7-90E4A1322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N19"/>
  <sheetViews>
    <sheetView tabSelected="1" workbookViewId="0"/>
  </sheetViews>
  <sheetFormatPr defaultRowHeight="18.75"/>
  <cols>
    <col min="1" max="16384" width="9" style="17"/>
  </cols>
  <sheetData>
    <row r="1" spans="1:14" ht="33">
      <c r="A1" s="19" t="s">
        <v>83</v>
      </c>
    </row>
    <row r="2" spans="1:14">
      <c r="A2" s="17" t="s">
        <v>85</v>
      </c>
    </row>
    <row r="10" spans="1:14" ht="45.75" customHeight="1"/>
    <row r="11" spans="1:14" ht="45.75" customHeight="1"/>
    <row r="12" spans="1:14">
      <c r="B12" s="17" t="s">
        <v>81</v>
      </c>
      <c r="E12" s="17" t="s">
        <v>86</v>
      </c>
    </row>
    <row r="13" spans="1:14">
      <c r="E13" s="17" t="s">
        <v>84</v>
      </c>
      <c r="J13" s="17" t="s">
        <v>82</v>
      </c>
    </row>
    <row r="14" spans="1:14">
      <c r="C14" s="17">
        <v>1</v>
      </c>
    </row>
    <row r="15" spans="1:14">
      <c r="E15" s="18" t="s">
        <v>115</v>
      </c>
      <c r="J15" s="20" t="s">
        <v>95</v>
      </c>
      <c r="K15" s="20" t="s">
        <v>94</v>
      </c>
      <c r="L15" s="20" t="s">
        <v>124</v>
      </c>
      <c r="M15" s="20" t="s">
        <v>65</v>
      </c>
      <c r="N15" s="20" t="s">
        <v>123</v>
      </c>
    </row>
    <row r="16" spans="1:14">
      <c r="E16" s="18" t="s">
        <v>88</v>
      </c>
      <c r="J16" s="18">
        <v>1</v>
      </c>
      <c r="K16" s="18">
        <v>1</v>
      </c>
      <c r="L16" s="18">
        <v>5.0999999999999996</v>
      </c>
      <c r="M16" s="18">
        <v>-3.11</v>
      </c>
      <c r="N16" s="18">
        <v>-1.1000000000000001</v>
      </c>
    </row>
    <row r="17" spans="5:14">
      <c r="E17" s="18" t="s">
        <v>90</v>
      </c>
      <c r="J17" s="18">
        <v>1.5</v>
      </c>
      <c r="K17" s="18">
        <v>2</v>
      </c>
      <c r="L17" s="18">
        <v>5.2</v>
      </c>
      <c r="M17" s="18">
        <v>-3.16</v>
      </c>
      <c r="N17" s="18">
        <v>-1.2</v>
      </c>
    </row>
    <row r="18" spans="5:14">
      <c r="E18" s="18" t="s">
        <v>101</v>
      </c>
      <c r="J18" s="18">
        <v>2.1</v>
      </c>
      <c r="K18" s="18">
        <v>3</v>
      </c>
      <c r="L18" s="18"/>
      <c r="M18" s="18"/>
      <c r="N18" s="18">
        <v>-1.3</v>
      </c>
    </row>
    <row r="19" spans="5:14">
      <c r="E19" s="18" t="s">
        <v>116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グラフ作成_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590550</xdr:colOff>
                    <xdr:row>12</xdr:row>
                    <xdr:rowOff>57150</xdr:rowOff>
                  </from>
                  <to>
                    <xdr:col>2</xdr:col>
                    <xdr:colOff>542925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/>
  </sheetPr>
  <dimension ref="A1:H6"/>
  <sheetViews>
    <sheetView workbookViewId="0">
      <selection activeCell="C19" sqref="C19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12</v>
      </c>
      <c r="G1" s="2" t="s">
        <v>13</v>
      </c>
      <c r="H1" s="2" t="s">
        <v>14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10</v>
      </c>
      <c r="F2" s="2"/>
      <c r="G2" s="2"/>
      <c r="H2" s="2"/>
    </row>
    <row r="3" spans="1:8">
      <c r="A3" t="s">
        <v>89</v>
      </c>
      <c r="B3" s="2"/>
      <c r="C3" s="2" t="s">
        <v>6</v>
      </c>
      <c r="D3" s="2">
        <v>-0.16200000000000001</v>
      </c>
      <c r="E3" s="2" t="s">
        <v>10</v>
      </c>
      <c r="F3" s="2"/>
      <c r="G3" s="2"/>
      <c r="H3" s="2"/>
    </row>
    <row r="4" spans="1:8">
      <c r="A4" t="s">
        <v>91</v>
      </c>
      <c r="B4" s="2">
        <v>-0.33</v>
      </c>
      <c r="C4" s="2" t="s">
        <v>6</v>
      </c>
      <c r="D4" s="2"/>
      <c r="E4" s="2" t="s">
        <v>11</v>
      </c>
      <c r="F4" s="2"/>
      <c r="G4" s="2"/>
      <c r="H4" s="2"/>
    </row>
    <row r="5" spans="1:8">
      <c r="A5" t="s">
        <v>8</v>
      </c>
      <c r="B5" s="2"/>
      <c r="C5" s="2" t="s">
        <v>6</v>
      </c>
      <c r="D5" s="3">
        <v>802000000000</v>
      </c>
      <c r="E5" s="2" t="s">
        <v>11</v>
      </c>
      <c r="F5" s="2"/>
      <c r="G5" s="2"/>
      <c r="H5" s="2" t="s">
        <v>15</v>
      </c>
    </row>
    <row r="6" spans="1:8">
      <c r="A6" t="s">
        <v>112</v>
      </c>
      <c r="B6" s="2"/>
      <c r="C6" s="2" t="s">
        <v>6</v>
      </c>
      <c r="D6" s="2">
        <v>20000</v>
      </c>
      <c r="E6" s="2" t="s">
        <v>7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7:M18"/>
  <sheetViews>
    <sheetView topLeftCell="B7" workbookViewId="0">
      <selection activeCell="G17" sqref="G17:G18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7" max="7" width="8" customWidth="1"/>
  </cols>
  <sheetData>
    <row r="7" spans="1:13">
      <c r="B7" t="s">
        <v>36</v>
      </c>
      <c r="C7" t="s">
        <v>36</v>
      </c>
      <c r="D7" t="s">
        <v>36</v>
      </c>
      <c r="F7" t="s">
        <v>126</v>
      </c>
      <c r="G7" t="s">
        <v>126</v>
      </c>
      <c r="H7" t="s">
        <v>127</v>
      </c>
      <c r="I7" t="s">
        <v>127</v>
      </c>
      <c r="J7" t="s">
        <v>127</v>
      </c>
      <c r="K7" t="s">
        <v>127</v>
      </c>
      <c r="L7" t="s">
        <v>127</v>
      </c>
      <c r="M7" t="s">
        <v>126</v>
      </c>
    </row>
    <row r="8" spans="1:13">
      <c r="F8" t="s">
        <v>128</v>
      </c>
      <c r="G8" t="s">
        <v>131</v>
      </c>
      <c r="H8" t="s">
        <v>132</v>
      </c>
      <c r="I8" t="s">
        <v>128</v>
      </c>
      <c r="J8" t="s">
        <v>133</v>
      </c>
      <c r="K8" t="s">
        <v>129</v>
      </c>
      <c r="L8" t="s">
        <v>130</v>
      </c>
      <c r="M8" t="s">
        <v>134</v>
      </c>
    </row>
    <row r="9" spans="1:13">
      <c r="A9" t="s">
        <v>36</v>
      </c>
      <c r="F9" t="s">
        <v>20</v>
      </c>
      <c r="G9" t="s">
        <v>20</v>
      </c>
      <c r="H9" t="s">
        <v>20</v>
      </c>
      <c r="I9" t="s">
        <v>21</v>
      </c>
      <c r="J9" t="s">
        <v>20</v>
      </c>
      <c r="K9" t="s">
        <v>21</v>
      </c>
      <c r="L9" t="s">
        <v>20</v>
      </c>
      <c r="M9" t="s">
        <v>20</v>
      </c>
    </row>
    <row r="10" spans="1:13">
      <c r="E10" s="2" t="s">
        <v>16</v>
      </c>
      <c r="F10" s="2" t="s">
        <v>19</v>
      </c>
      <c r="G10" s="2" t="s">
        <v>17</v>
      </c>
      <c r="H10" s="2" t="s">
        <v>18</v>
      </c>
      <c r="I10" s="2" t="s">
        <v>125</v>
      </c>
      <c r="J10" s="2" t="s">
        <v>22</v>
      </c>
      <c r="K10" s="2" t="s">
        <v>66</v>
      </c>
      <c r="L10" s="2" t="s">
        <v>67</v>
      </c>
      <c r="M10" s="2" t="s">
        <v>23</v>
      </c>
    </row>
    <row r="11" spans="1:13">
      <c r="E11" s="2" t="s">
        <v>30</v>
      </c>
      <c r="F11" s="2">
        <v>1</v>
      </c>
      <c r="G11" s="2">
        <v>1</v>
      </c>
      <c r="H11" s="2">
        <v>1</v>
      </c>
      <c r="I11" s="21">
        <v>5.0999999999999996</v>
      </c>
      <c r="J11" s="2">
        <v>-1.2</v>
      </c>
      <c r="K11" s="2">
        <v>-3.11</v>
      </c>
      <c r="L11" s="2">
        <v>-1.1000000000000001</v>
      </c>
      <c r="M11" s="2">
        <v>2</v>
      </c>
    </row>
    <row r="12" spans="1:13">
      <c r="E12" s="2" t="s">
        <v>31</v>
      </c>
      <c r="F12" s="2">
        <v>1</v>
      </c>
      <c r="G12" s="28">
        <v>2</v>
      </c>
      <c r="H12" s="2">
        <v>1</v>
      </c>
      <c r="I12" s="21">
        <v>5.0999999999999996</v>
      </c>
      <c r="J12" s="2">
        <v>-1.2</v>
      </c>
      <c r="K12" s="2">
        <v>-3.11</v>
      </c>
      <c r="L12" s="2">
        <v>-1.1000000000000001</v>
      </c>
      <c r="M12" s="2">
        <v>2</v>
      </c>
    </row>
    <row r="13" spans="1:13">
      <c r="E13" s="2" t="s">
        <v>32</v>
      </c>
      <c r="F13" s="22">
        <v>1.5</v>
      </c>
      <c r="G13" s="29">
        <v>3</v>
      </c>
      <c r="H13" s="2">
        <v>1</v>
      </c>
      <c r="I13" s="21">
        <v>5.0999999999999996</v>
      </c>
      <c r="J13" s="2">
        <v>-1.2</v>
      </c>
      <c r="K13" s="23">
        <v>-3.16</v>
      </c>
      <c r="L13" s="24">
        <v>-1.2</v>
      </c>
      <c r="M13" s="2">
        <v>2</v>
      </c>
    </row>
    <row r="14" spans="1:13">
      <c r="E14" s="2" t="s">
        <v>33</v>
      </c>
      <c r="F14" s="22">
        <v>1.5</v>
      </c>
      <c r="G14" s="2">
        <v>1</v>
      </c>
      <c r="H14" s="2">
        <v>1</v>
      </c>
      <c r="I14" s="25">
        <v>5.2</v>
      </c>
      <c r="J14" s="2">
        <v>-1.2</v>
      </c>
      <c r="K14" s="23">
        <v>-3.16</v>
      </c>
      <c r="L14" s="24">
        <v>-1.2</v>
      </c>
      <c r="M14" s="2">
        <v>2</v>
      </c>
    </row>
    <row r="15" spans="1:13">
      <c r="E15" s="2" t="s">
        <v>34</v>
      </c>
      <c r="F15" s="26">
        <v>2.1</v>
      </c>
      <c r="G15" s="28">
        <v>2</v>
      </c>
      <c r="H15" s="2">
        <v>1</v>
      </c>
      <c r="I15" s="25">
        <v>5.2</v>
      </c>
      <c r="J15" s="2">
        <v>-1.2</v>
      </c>
      <c r="K15" s="23">
        <v>-3.16</v>
      </c>
      <c r="L15" s="24">
        <v>-1.2</v>
      </c>
      <c r="M15" s="2">
        <v>2</v>
      </c>
    </row>
    <row r="16" spans="1:13">
      <c r="E16" s="2" t="s">
        <v>35</v>
      </c>
      <c r="F16" s="26">
        <v>2.1</v>
      </c>
      <c r="G16" s="29">
        <v>3</v>
      </c>
      <c r="H16" s="2">
        <v>1</v>
      </c>
      <c r="I16" s="25">
        <v>5.2</v>
      </c>
      <c r="J16" s="2">
        <v>-1.2</v>
      </c>
      <c r="K16" s="23">
        <v>-3.16</v>
      </c>
      <c r="L16" s="24">
        <v>-1.2</v>
      </c>
      <c r="M16" s="2">
        <v>2</v>
      </c>
    </row>
    <row r="17" spans="5:13">
      <c r="E17" s="2" t="s">
        <v>99</v>
      </c>
      <c r="F17" s="26">
        <v>2.1</v>
      </c>
      <c r="G17" s="2">
        <v>1</v>
      </c>
      <c r="H17" s="2">
        <v>1</v>
      </c>
      <c r="I17" s="25">
        <v>5.2</v>
      </c>
      <c r="J17" s="2">
        <v>-1.2</v>
      </c>
      <c r="K17" s="23">
        <v>-3.16</v>
      </c>
      <c r="L17" s="27">
        <v>-1.3</v>
      </c>
      <c r="M17" s="2">
        <v>2</v>
      </c>
    </row>
    <row r="18" spans="5:13">
      <c r="E18" s="2" t="s">
        <v>100</v>
      </c>
      <c r="F18" s="26">
        <v>2.1</v>
      </c>
      <c r="G18" s="28">
        <v>2</v>
      </c>
      <c r="H18" s="2">
        <v>1</v>
      </c>
      <c r="I18" s="25">
        <v>5.2</v>
      </c>
      <c r="J18" s="2">
        <v>-1.2</v>
      </c>
      <c r="K18" s="23">
        <v>-3.16</v>
      </c>
      <c r="L18" s="27">
        <v>-1.3</v>
      </c>
      <c r="M18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>
    <tabColor theme="9"/>
  </sheetPr>
  <dimension ref="A1:P13"/>
  <sheetViews>
    <sheetView workbookViewId="0">
      <selection activeCell="G11" sqref="G11"/>
    </sheetView>
  </sheetViews>
  <sheetFormatPr defaultRowHeight="18.75"/>
  <cols>
    <col min="2" max="2" width="9.5" bestFit="1" customWidth="1"/>
    <col min="6" max="6" width="9.5" bestFit="1" customWidth="1"/>
    <col min="10" max="10" width="9.5" bestFit="1" customWidth="1"/>
    <col min="12" max="12" width="9.5" bestFit="1" customWidth="1"/>
    <col min="13" max="13" width="10.375" bestFit="1" customWidth="1"/>
  </cols>
  <sheetData>
    <row r="1" spans="1:16">
      <c r="E1" s="9" t="s">
        <v>43</v>
      </c>
      <c r="F1" t="s">
        <v>114</v>
      </c>
      <c r="G1" t="s">
        <v>7</v>
      </c>
      <c r="H1" t="s">
        <v>7</v>
      </c>
      <c r="I1" t="s">
        <v>46</v>
      </c>
      <c r="J1" t="s">
        <v>113</v>
      </c>
      <c r="K1" t="s">
        <v>51</v>
      </c>
      <c r="L1" t="s">
        <v>51</v>
      </c>
      <c r="M1" t="s">
        <v>51</v>
      </c>
      <c r="N1" t="s">
        <v>51</v>
      </c>
      <c r="O1" t="s">
        <v>40</v>
      </c>
      <c r="P1" t="s">
        <v>51</v>
      </c>
    </row>
    <row r="2" spans="1:16">
      <c r="A2" s="9" t="s">
        <v>37</v>
      </c>
      <c r="B2" t="s">
        <v>19</v>
      </c>
      <c r="C2" t="s">
        <v>125</v>
      </c>
      <c r="D2" t="s">
        <v>66</v>
      </c>
      <c r="E2" s="9" t="s">
        <v>111</v>
      </c>
      <c r="F2" t="s">
        <v>57</v>
      </c>
      <c r="G2" t="s">
        <v>58</v>
      </c>
      <c r="H2" t="s">
        <v>59</v>
      </c>
      <c r="I2" t="s">
        <v>45</v>
      </c>
      <c r="J2" t="s">
        <v>52</v>
      </c>
      <c r="K2" t="s">
        <v>53</v>
      </c>
      <c r="L2" t="s">
        <v>54</v>
      </c>
      <c r="M2" t="s">
        <v>55</v>
      </c>
      <c r="N2" t="s">
        <v>56</v>
      </c>
      <c r="O2" t="s">
        <v>60</v>
      </c>
      <c r="P2" t="s">
        <v>105</v>
      </c>
    </row>
    <row r="3" spans="1:16">
      <c r="A3" s="9" t="s">
        <v>38</v>
      </c>
      <c r="B3" s="1" t="s">
        <v>41</v>
      </c>
      <c r="C3" s="1" t="s">
        <v>41</v>
      </c>
      <c r="D3" s="1" t="s">
        <v>41</v>
      </c>
      <c r="E3" s="9" t="s">
        <v>37</v>
      </c>
      <c r="F3" t="s">
        <v>5</v>
      </c>
      <c r="G3" t="s">
        <v>102</v>
      </c>
      <c r="H3" t="s">
        <v>112</v>
      </c>
      <c r="I3" t="s">
        <v>89</v>
      </c>
      <c r="J3" t="s">
        <v>91</v>
      </c>
      <c r="K3" t="s">
        <v>93</v>
      </c>
      <c r="L3" t="s">
        <v>8</v>
      </c>
      <c r="M3" t="s">
        <v>47</v>
      </c>
      <c r="N3" t="s">
        <v>48</v>
      </c>
      <c r="O3" t="s">
        <v>103</v>
      </c>
      <c r="P3" t="s">
        <v>104</v>
      </c>
    </row>
    <row r="4" spans="1:16">
      <c r="A4" s="9" t="s">
        <v>39</v>
      </c>
      <c r="B4" t="s">
        <v>42</v>
      </c>
      <c r="C4" t="s">
        <v>42</v>
      </c>
      <c r="D4" t="s">
        <v>42</v>
      </c>
      <c r="E4" s="9" t="s">
        <v>44</v>
      </c>
      <c r="F4" t="s">
        <v>107</v>
      </c>
      <c r="G4" t="s">
        <v>106</v>
      </c>
      <c r="H4" t="s">
        <v>7</v>
      </c>
      <c r="I4" t="s">
        <v>49</v>
      </c>
      <c r="J4" t="s">
        <v>50</v>
      </c>
      <c r="K4" t="s">
        <v>50</v>
      </c>
      <c r="L4" t="s">
        <v>108</v>
      </c>
      <c r="M4" t="s">
        <v>109</v>
      </c>
      <c r="N4" t="s">
        <v>110</v>
      </c>
      <c r="O4" t="s">
        <v>107</v>
      </c>
      <c r="P4" t="s">
        <v>107</v>
      </c>
    </row>
    <row r="5" spans="1:16">
      <c r="A5" t="s">
        <v>24</v>
      </c>
      <c r="B5">
        <v>1</v>
      </c>
      <c r="C5" s="6">
        <v>5.0999999999999996</v>
      </c>
      <c r="D5">
        <v>-3.11</v>
      </c>
      <c r="E5" t="s">
        <v>24</v>
      </c>
      <c r="F5" s="1">
        <v>2.33</v>
      </c>
      <c r="G5" s="1">
        <v>0.38</v>
      </c>
      <c r="H5" s="1">
        <v>0.4</v>
      </c>
      <c r="I5" s="1">
        <v>0.64900000000000002</v>
      </c>
      <c r="J5" s="1">
        <v>6.1600000000000002E-2</v>
      </c>
      <c r="K5" s="1">
        <v>0.23799999999999999</v>
      </c>
      <c r="L5" s="1">
        <v>2.33</v>
      </c>
      <c r="M5" s="1">
        <v>-27</v>
      </c>
      <c r="N5" s="1">
        <v>1.1E-40</v>
      </c>
      <c r="O5" s="1">
        <v>0.2</v>
      </c>
      <c r="P5" s="1">
        <v>0.19</v>
      </c>
    </row>
    <row r="6" spans="1:16">
      <c r="A6" t="s">
        <v>25</v>
      </c>
      <c r="B6">
        <v>1</v>
      </c>
      <c r="C6" s="6">
        <v>5.0999999999999996</v>
      </c>
      <c r="D6">
        <v>-3.11</v>
      </c>
      <c r="E6" t="s">
        <v>25</v>
      </c>
      <c r="F6" s="1">
        <v>2.31</v>
      </c>
      <c r="G6" s="1">
        <v>0.38</v>
      </c>
      <c r="H6" s="1">
        <v>0.40100000000000002</v>
      </c>
      <c r="I6" s="1">
        <v>0.65100000000000002</v>
      </c>
      <c r="J6" s="1">
        <v>6.1800000000000001E-2</v>
      </c>
      <c r="K6" s="1">
        <v>0.23799999999999999</v>
      </c>
      <c r="L6" s="1">
        <v>2.23</v>
      </c>
      <c r="M6" s="1">
        <v>-27</v>
      </c>
      <c r="N6" s="1">
        <v>1.5000000000000001E-40</v>
      </c>
      <c r="O6" s="1">
        <v>0.2</v>
      </c>
      <c r="P6" s="1">
        <v>0.18</v>
      </c>
    </row>
    <row r="7" spans="1:16">
      <c r="A7" t="s">
        <v>26</v>
      </c>
      <c r="B7" s="4">
        <v>1.5</v>
      </c>
      <c r="C7" s="6">
        <v>5.0999999999999996</v>
      </c>
      <c r="D7" s="8">
        <v>-3.16</v>
      </c>
      <c r="E7" t="s">
        <v>26</v>
      </c>
      <c r="F7" s="1">
        <v>2.29</v>
      </c>
      <c r="G7" s="1">
        <v>0.38</v>
      </c>
      <c r="H7" s="1">
        <v>0.39800000000000002</v>
      </c>
      <c r="I7" s="1">
        <v>0.65300000000000002</v>
      </c>
      <c r="J7" s="1">
        <v>6.2E-2</v>
      </c>
      <c r="K7" s="1">
        <v>0.23799999999999999</v>
      </c>
      <c r="L7" s="1">
        <v>2.13</v>
      </c>
      <c r="M7" s="1">
        <v>-27</v>
      </c>
      <c r="N7" s="1">
        <v>9.0000000000000002E-41</v>
      </c>
      <c r="O7" s="1">
        <v>0.2</v>
      </c>
      <c r="P7" s="1">
        <v>0.17</v>
      </c>
    </row>
    <row r="8" spans="1:16">
      <c r="A8" t="s">
        <v>27</v>
      </c>
      <c r="B8" s="4">
        <v>1.5</v>
      </c>
      <c r="C8" s="7">
        <v>5.2</v>
      </c>
      <c r="D8" s="8">
        <v>-3.16</v>
      </c>
      <c r="E8" t="s">
        <v>27</v>
      </c>
      <c r="F8" s="1">
        <v>2.27</v>
      </c>
      <c r="G8" s="1">
        <v>0.38</v>
      </c>
      <c r="H8" s="1">
        <v>0.397666666666667</v>
      </c>
      <c r="I8" s="1">
        <v>0.65500000000000003</v>
      </c>
      <c r="J8" s="1">
        <v>6.2199999999999998E-2</v>
      </c>
      <c r="K8" s="1">
        <v>0.23799999999999999</v>
      </c>
      <c r="L8" s="1">
        <v>2.0299999999999998</v>
      </c>
      <c r="M8" s="1">
        <v>-27</v>
      </c>
      <c r="N8" s="1">
        <v>2.3E-40</v>
      </c>
      <c r="O8" s="1">
        <v>0.2</v>
      </c>
      <c r="P8" s="1">
        <v>0.16</v>
      </c>
    </row>
    <row r="9" spans="1:16">
      <c r="A9" t="s">
        <v>28</v>
      </c>
      <c r="B9" s="5">
        <v>2.1</v>
      </c>
      <c r="C9" s="7">
        <v>5.2</v>
      </c>
      <c r="D9" s="8">
        <v>-3.16</v>
      </c>
      <c r="E9" t="s">
        <v>28</v>
      </c>
      <c r="F9" s="1">
        <v>2.25</v>
      </c>
      <c r="G9" s="1">
        <v>0.38</v>
      </c>
      <c r="H9" s="1">
        <v>0.396666666666667</v>
      </c>
      <c r="I9" s="1">
        <v>0.65700000000000003</v>
      </c>
      <c r="J9" s="1">
        <v>6.2399999999999997E-2</v>
      </c>
      <c r="K9" s="1">
        <v>0.23799999999999999</v>
      </c>
      <c r="L9" s="1">
        <v>1.93</v>
      </c>
      <c r="M9" s="1">
        <v>-27</v>
      </c>
      <c r="N9" s="1">
        <v>2.7000000000000001E-40</v>
      </c>
      <c r="O9" s="1">
        <v>0.2</v>
      </c>
      <c r="P9" s="1">
        <v>0.15</v>
      </c>
    </row>
    <row r="10" spans="1:16">
      <c r="A10" t="s">
        <v>29</v>
      </c>
      <c r="B10" s="5">
        <v>2.1</v>
      </c>
      <c r="C10" s="7">
        <v>5.2</v>
      </c>
      <c r="D10" s="8">
        <v>-3.16</v>
      </c>
      <c r="E10" t="s">
        <v>29</v>
      </c>
      <c r="F10" s="1">
        <v>2.23</v>
      </c>
      <c r="G10" s="1">
        <v>0.38</v>
      </c>
      <c r="H10" s="1">
        <v>0.395666666666667</v>
      </c>
      <c r="I10" s="1">
        <v>0.65900000000000003</v>
      </c>
      <c r="J10" s="1">
        <v>6.2600000000000003E-2</v>
      </c>
      <c r="K10" s="1">
        <v>0.23799999999999999</v>
      </c>
      <c r="L10" s="1">
        <v>1.83</v>
      </c>
      <c r="M10" s="1">
        <v>-27</v>
      </c>
      <c r="N10" s="1">
        <v>3.1000000000000001E-40</v>
      </c>
      <c r="O10" s="1">
        <v>0.2</v>
      </c>
      <c r="P10" s="1">
        <v>0.14000000000000001</v>
      </c>
    </row>
    <row r="11" spans="1:16">
      <c r="A11" t="s">
        <v>118</v>
      </c>
      <c r="B11" s="5">
        <v>2.1</v>
      </c>
      <c r="C11" s="7">
        <v>5.2</v>
      </c>
      <c r="D11" s="8">
        <v>-3.16</v>
      </c>
      <c r="E11" t="s">
        <v>118</v>
      </c>
      <c r="F11" s="1">
        <v>2.21</v>
      </c>
      <c r="G11" s="1">
        <v>0.38</v>
      </c>
      <c r="H11" s="1">
        <v>0.394666666666667</v>
      </c>
      <c r="I11" s="1">
        <v>0.66100000000000003</v>
      </c>
      <c r="J11" s="1">
        <v>6.2799999999999995E-2</v>
      </c>
      <c r="K11" s="1">
        <v>0.23799999999999999</v>
      </c>
      <c r="L11" s="1">
        <v>1.73</v>
      </c>
      <c r="M11" s="1">
        <v>-27</v>
      </c>
      <c r="N11" s="1">
        <v>3.5000000000000002E-40</v>
      </c>
      <c r="O11" s="1">
        <v>0.2</v>
      </c>
      <c r="P11" s="1">
        <v>0.13</v>
      </c>
    </row>
    <row r="12" spans="1:16">
      <c r="A12" t="s">
        <v>119</v>
      </c>
      <c r="B12" s="5">
        <v>2.1</v>
      </c>
      <c r="C12" s="7">
        <v>5.2</v>
      </c>
      <c r="D12" s="8">
        <v>-3.16</v>
      </c>
      <c r="E12" t="s">
        <v>119</v>
      </c>
      <c r="F12" s="1">
        <v>2.19</v>
      </c>
      <c r="G12" s="1">
        <v>0.38</v>
      </c>
      <c r="H12" s="1">
        <v>0.393666666666667</v>
      </c>
      <c r="I12" s="1">
        <v>0.66300000000000003</v>
      </c>
      <c r="J12" s="1">
        <v>6.3E-2</v>
      </c>
      <c r="K12" s="1">
        <v>0.23799999999999999</v>
      </c>
      <c r="L12" s="1">
        <v>1.63</v>
      </c>
      <c r="M12" s="1">
        <v>-27</v>
      </c>
      <c r="N12" s="1">
        <v>3.8999999999999998E-40</v>
      </c>
      <c r="O12" s="1">
        <v>0.2</v>
      </c>
      <c r="P12" s="1">
        <v>0.12</v>
      </c>
    </row>
    <row r="13" spans="1:16"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1897-D6BD-4693-962C-F5D32B2CC943}">
  <sheetPr codeName="Sheet10">
    <tabColor rgb="FFFFFF00"/>
  </sheetPr>
  <dimension ref="A1:F9"/>
  <sheetViews>
    <sheetView workbookViewId="0">
      <selection activeCell="K60" sqref="K60"/>
    </sheetView>
  </sheetViews>
  <sheetFormatPr defaultRowHeight="18.75"/>
  <sheetData>
    <row r="1" spans="1:6">
      <c r="A1" t="s">
        <v>117</v>
      </c>
      <c r="B1" t="s">
        <v>115</v>
      </c>
      <c r="C1" t="s">
        <v>116</v>
      </c>
      <c r="D1" t="s">
        <v>88</v>
      </c>
      <c r="E1" t="s">
        <v>90</v>
      </c>
      <c r="F1" t="s">
        <v>101</v>
      </c>
    </row>
    <row r="2" spans="1:6">
      <c r="A2" t="s">
        <v>24</v>
      </c>
      <c r="B2">
        <v>2.33</v>
      </c>
      <c r="C2">
        <v>0.4</v>
      </c>
      <c r="D2">
        <v>0.64900000000000002</v>
      </c>
      <c r="E2">
        <v>6.1600000000000002E-2</v>
      </c>
      <c r="F2">
        <v>2.33</v>
      </c>
    </row>
    <row r="3" spans="1:6">
      <c r="A3" t="s">
        <v>25</v>
      </c>
      <c r="B3">
        <v>2.31</v>
      </c>
      <c r="C3">
        <v>0.40100000000000002</v>
      </c>
      <c r="D3">
        <v>0.65100000000000002</v>
      </c>
      <c r="E3">
        <v>6.1800000000000001E-2</v>
      </c>
      <c r="F3">
        <v>2.23</v>
      </c>
    </row>
    <row r="4" spans="1:6">
      <c r="A4" t="s">
        <v>26</v>
      </c>
      <c r="B4">
        <v>2.29</v>
      </c>
      <c r="C4">
        <v>0.39800000000000002</v>
      </c>
      <c r="D4">
        <v>0.65300000000000002</v>
      </c>
      <c r="E4">
        <v>6.2E-2</v>
      </c>
      <c r="F4">
        <v>2.13</v>
      </c>
    </row>
    <row r="5" spans="1:6">
      <c r="A5" t="s">
        <v>27</v>
      </c>
      <c r="B5">
        <v>2.27</v>
      </c>
      <c r="C5">
        <v>0.397666666666667</v>
      </c>
      <c r="D5">
        <v>0.65500000000000003</v>
      </c>
      <c r="E5">
        <v>6.2199999999999998E-2</v>
      </c>
      <c r="F5">
        <v>2.0299999999999998</v>
      </c>
    </row>
    <row r="6" spans="1:6">
      <c r="A6" t="s">
        <v>28</v>
      </c>
      <c r="B6">
        <v>2.25</v>
      </c>
      <c r="C6">
        <v>0.396666666666667</v>
      </c>
      <c r="D6">
        <v>0.65700000000000003</v>
      </c>
      <c r="E6">
        <v>6.2399999999999997E-2</v>
      </c>
      <c r="F6">
        <v>1.93</v>
      </c>
    </row>
    <row r="7" spans="1:6">
      <c r="A7" t="s">
        <v>29</v>
      </c>
      <c r="B7">
        <v>2.23</v>
      </c>
      <c r="C7">
        <v>0.395666666666667</v>
      </c>
      <c r="D7">
        <v>0.65900000000000003</v>
      </c>
      <c r="E7">
        <v>6.2600000000000003E-2</v>
      </c>
      <c r="F7">
        <v>1.83</v>
      </c>
    </row>
    <row r="8" spans="1:6">
      <c r="A8" t="s">
        <v>118</v>
      </c>
      <c r="B8">
        <v>2.21</v>
      </c>
      <c r="C8">
        <v>0.394666666666667</v>
      </c>
      <c r="D8">
        <v>0.66100000000000003</v>
      </c>
      <c r="E8">
        <v>6.2799999999999995E-2</v>
      </c>
      <c r="F8">
        <v>1.73</v>
      </c>
    </row>
    <row r="9" spans="1:6">
      <c r="A9" t="s">
        <v>119</v>
      </c>
      <c r="B9">
        <v>2.19</v>
      </c>
      <c r="C9">
        <v>0.393666666666667</v>
      </c>
      <c r="D9">
        <v>0.66300000000000003</v>
      </c>
      <c r="E9">
        <v>6.3E-2</v>
      </c>
      <c r="F9">
        <v>1.63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"/>
  <sheetViews>
    <sheetView workbookViewId="0">
      <selection activeCell="G12" sqref="G12"/>
    </sheetView>
  </sheetViews>
  <sheetFormatPr defaultRowHeight="18.7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I20" sqref="I20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75</v>
      </c>
      <c r="H1" t="s">
        <v>78</v>
      </c>
      <c r="L1" s="10" t="s">
        <v>74</v>
      </c>
      <c r="M1" s="10" t="s">
        <v>74</v>
      </c>
      <c r="N1" s="10" t="s">
        <v>74</v>
      </c>
    </row>
    <row r="2" spans="2:16">
      <c r="B2" t="s">
        <v>62</v>
      </c>
      <c r="C2" t="s">
        <v>64</v>
      </c>
      <c r="D2" t="s">
        <v>66</v>
      </c>
      <c r="E2" s="10" t="s">
        <v>67</v>
      </c>
      <c r="F2" s="10" t="s">
        <v>121</v>
      </c>
      <c r="K2" s="12" t="s">
        <v>67</v>
      </c>
      <c r="L2" s="12" t="s">
        <v>76</v>
      </c>
      <c r="M2" s="12" t="s">
        <v>77</v>
      </c>
      <c r="N2" s="12" t="s">
        <v>79</v>
      </c>
    </row>
    <row r="3" spans="2:16">
      <c r="B3" t="s">
        <v>69</v>
      </c>
      <c r="C3" s="1">
        <v>1000000000000</v>
      </c>
      <c r="D3" s="1">
        <v>3000000000000</v>
      </c>
      <c r="E3" s="10">
        <v>5340000000000</v>
      </c>
      <c r="F3" s="11">
        <v>1.38</v>
      </c>
      <c r="J3" t="s">
        <v>80</v>
      </c>
      <c r="K3" s="14">
        <v>5290000000000</v>
      </c>
      <c r="L3" s="2"/>
      <c r="M3" s="14">
        <v>1</v>
      </c>
      <c r="N3" s="14"/>
    </row>
    <row r="4" spans="2:16">
      <c r="B4" t="s">
        <v>71</v>
      </c>
      <c r="C4" s="1">
        <v>1000000000000</v>
      </c>
      <c r="D4" s="1">
        <v>3000000000000</v>
      </c>
      <c r="E4" s="10">
        <v>5390000000000</v>
      </c>
      <c r="F4" s="11">
        <v>1.41</v>
      </c>
      <c r="K4" s="12">
        <v>5340000000000</v>
      </c>
      <c r="L4" s="13">
        <v>1.38</v>
      </c>
      <c r="M4" s="12">
        <v>2.35</v>
      </c>
      <c r="N4" s="12">
        <v>3.31</v>
      </c>
    </row>
    <row r="5" spans="2:16">
      <c r="B5" t="s">
        <v>73</v>
      </c>
      <c r="C5" s="1">
        <v>1000000000000</v>
      </c>
      <c r="D5" s="1">
        <v>3000000000000</v>
      </c>
      <c r="E5" s="10">
        <v>5440000000000</v>
      </c>
      <c r="F5" s="11">
        <v>1.36</v>
      </c>
      <c r="J5" s="15"/>
      <c r="K5" s="12">
        <v>5390000000000</v>
      </c>
      <c r="L5" s="13">
        <v>1.41</v>
      </c>
      <c r="M5" s="12">
        <v>2.38</v>
      </c>
      <c r="N5" s="12">
        <v>3.34</v>
      </c>
    </row>
    <row r="6" spans="2:16">
      <c r="C6" s="1"/>
      <c r="D6" s="1"/>
      <c r="E6" s="1"/>
      <c r="F6" s="1"/>
      <c r="K6" s="12">
        <v>5440000000000</v>
      </c>
      <c r="L6" s="13">
        <v>1.36</v>
      </c>
      <c r="M6" s="12">
        <v>2.41</v>
      </c>
      <c r="N6" s="12">
        <v>3.37</v>
      </c>
    </row>
    <row r="7" spans="2:16">
      <c r="B7" t="s">
        <v>75</v>
      </c>
      <c r="J7" t="s">
        <v>80</v>
      </c>
      <c r="K7" s="14">
        <v>5490000000000</v>
      </c>
      <c r="L7" s="2"/>
      <c r="M7" s="14">
        <v>1.5</v>
      </c>
      <c r="N7" s="14">
        <v>6</v>
      </c>
      <c r="O7" s="16">
        <v>6</v>
      </c>
    </row>
    <row r="8" spans="2:16">
      <c r="B8" t="s">
        <v>61</v>
      </c>
      <c r="C8" t="s">
        <v>63</v>
      </c>
      <c r="D8" t="s">
        <v>65</v>
      </c>
      <c r="E8" s="10" t="s">
        <v>67</v>
      </c>
      <c r="F8" s="10" t="s">
        <v>121</v>
      </c>
      <c r="J8" t="s">
        <v>80</v>
      </c>
      <c r="K8" s="14">
        <v>5540000000000</v>
      </c>
      <c r="L8" s="2"/>
      <c r="M8" s="14"/>
      <c r="N8" s="14">
        <v>5</v>
      </c>
    </row>
    <row r="9" spans="2:16">
      <c r="B9" t="s">
        <v>68</v>
      </c>
      <c r="C9">
        <v>1500000000000</v>
      </c>
      <c r="D9">
        <v>3000000000000</v>
      </c>
      <c r="E9" s="10">
        <v>5340000000000</v>
      </c>
      <c r="F9" s="10">
        <v>2.35</v>
      </c>
    </row>
    <row r="10" spans="2:16">
      <c r="B10" t="s">
        <v>70</v>
      </c>
      <c r="C10">
        <v>1500000000000</v>
      </c>
      <c r="D10">
        <v>3000000000000</v>
      </c>
      <c r="E10" s="10">
        <v>5390000000000</v>
      </c>
      <c r="F10" s="10">
        <v>2.38</v>
      </c>
    </row>
    <row r="11" spans="2:16">
      <c r="B11" t="s">
        <v>72</v>
      </c>
      <c r="C11">
        <v>1500000000000</v>
      </c>
      <c r="D11">
        <v>3000000000000</v>
      </c>
      <c r="E11" s="10">
        <v>5440000000000</v>
      </c>
      <c r="F11" s="10">
        <v>2.41</v>
      </c>
      <c r="J11" s="15"/>
      <c r="P11" t="s">
        <v>120</v>
      </c>
    </row>
    <row r="12" spans="2:16">
      <c r="P12" t="s">
        <v>122</v>
      </c>
    </row>
    <row r="13" spans="2:16">
      <c r="B13" t="s">
        <v>75</v>
      </c>
      <c r="P13" s="18" t="s">
        <v>87</v>
      </c>
    </row>
    <row r="14" spans="2:16">
      <c r="B14" t="s">
        <v>61</v>
      </c>
      <c r="C14" t="s">
        <v>63</v>
      </c>
      <c r="D14" t="s">
        <v>65</v>
      </c>
      <c r="E14" s="10" t="s">
        <v>67</v>
      </c>
      <c r="F14" s="10" t="s">
        <v>121</v>
      </c>
      <c r="P14" s="18" t="s">
        <v>88</v>
      </c>
    </row>
    <row r="15" spans="2:16">
      <c r="B15" t="s">
        <v>68</v>
      </c>
      <c r="C15">
        <v>2000000000000</v>
      </c>
      <c r="D15">
        <v>3000000000000</v>
      </c>
      <c r="E15" s="10">
        <v>5340000000000</v>
      </c>
      <c r="F15" s="10">
        <v>3.31</v>
      </c>
      <c r="P15" s="18" t="s">
        <v>90</v>
      </c>
    </row>
    <row r="16" spans="2:16">
      <c r="B16" t="s">
        <v>70</v>
      </c>
      <c r="C16">
        <v>2000000000000</v>
      </c>
      <c r="D16">
        <v>3000000000000</v>
      </c>
      <c r="E16" s="10">
        <v>5390000000000</v>
      </c>
      <c r="F16" s="10">
        <v>3.34</v>
      </c>
      <c r="P16" s="18" t="s">
        <v>92</v>
      </c>
    </row>
    <row r="17" spans="2:16">
      <c r="B17" t="s">
        <v>72</v>
      </c>
      <c r="C17">
        <v>2000000000000</v>
      </c>
      <c r="D17">
        <v>3000000000000</v>
      </c>
      <c r="E17" s="10">
        <v>5440000000000</v>
      </c>
      <c r="F17" s="10">
        <v>3.37</v>
      </c>
      <c r="P17" s="18" t="s">
        <v>101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I6"/>
  <sheetViews>
    <sheetView workbookViewId="0">
      <selection activeCell="A2" sqref="A2:A6"/>
    </sheetView>
  </sheetViews>
  <sheetFormatPr defaultRowHeight="18.75"/>
  <cols>
    <col min="1" max="1" width="37.875" bestFit="1" customWidth="1"/>
    <col min="2" max="2" width="23.25" bestFit="1" customWidth="1"/>
  </cols>
  <sheetData>
    <row r="1" spans="1:9">
      <c r="A1" t="s">
        <v>98</v>
      </c>
      <c r="B1" t="s">
        <v>96</v>
      </c>
      <c r="D1" t="s">
        <v>97</v>
      </c>
    </row>
    <row r="2" spans="1:9">
      <c r="A2" t="s">
        <v>95</v>
      </c>
      <c r="E2" t="s">
        <v>95</v>
      </c>
      <c r="F2" t="s">
        <v>94</v>
      </c>
      <c r="G2" t="s">
        <v>124</v>
      </c>
      <c r="H2" t="s">
        <v>65</v>
      </c>
      <c r="I2" t="s">
        <v>123</v>
      </c>
    </row>
    <row r="3" spans="1:9">
      <c r="A3" t="s">
        <v>94</v>
      </c>
      <c r="E3">
        <v>1</v>
      </c>
      <c r="F3">
        <v>1</v>
      </c>
      <c r="G3">
        <v>5.0999999999999996</v>
      </c>
      <c r="H3">
        <v>-3.11</v>
      </c>
      <c r="I3">
        <v>-1.1000000000000001</v>
      </c>
    </row>
    <row r="4" spans="1:9">
      <c r="A4" t="s">
        <v>124</v>
      </c>
      <c r="E4">
        <v>1.5</v>
      </c>
      <c r="F4">
        <v>2</v>
      </c>
      <c r="G4">
        <v>5.2</v>
      </c>
      <c r="H4">
        <v>-3.16</v>
      </c>
      <c r="I4">
        <v>-1.2</v>
      </c>
    </row>
    <row r="5" spans="1:9">
      <c r="A5" t="s">
        <v>65</v>
      </c>
      <c r="E5">
        <v>2.1</v>
      </c>
      <c r="F5">
        <v>3</v>
      </c>
      <c r="I5">
        <v>-1.3</v>
      </c>
    </row>
    <row r="6" spans="1:9">
      <c r="A6" t="s">
        <v>123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AB14E-3076-4F1D-AA48-3234B0F1E7A3}">
  <sheetPr codeName="Sheet9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グラフ作成</vt:lpstr>
      <vt:lpstr>設定ファイル</vt:lpstr>
      <vt:lpstr>条件表</vt:lpstr>
      <vt:lpstr>DataTable</vt:lpstr>
      <vt:lpstr>サマリ</vt:lpstr>
      <vt:lpstr>散布図</vt:lpstr>
      <vt:lpstr>結果グラフ_サマリ</vt:lpstr>
      <vt:lpstr>例_散布図</vt:lpstr>
      <vt:lpstr>work_graph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2021-08-06T02:01:11Z</dcterms:modified>
</cp:coreProperties>
</file>