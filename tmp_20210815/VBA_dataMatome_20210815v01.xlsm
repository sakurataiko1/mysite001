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5A328F9A-ABCF-42C6-87BA-7CB2C4978820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グラフ作成" sheetId="6" r:id="rId1"/>
    <sheet name="設定ファイル" sheetId="1" r:id="rId2"/>
    <sheet name="条件表" sheetId="3" r:id="rId3"/>
    <sheet name="DataTable" sheetId="2" r:id="rId4"/>
    <sheet name="サマリ" sheetId="10" r:id="rId5"/>
    <sheet name="散布図" sheetId="8" r:id="rId6"/>
    <sheet name="例_散布図" sheetId="4" r:id="rId7"/>
    <sheet name="work_scatter1" sheetId="9" r:id="rId8"/>
    <sheet name="work_scatter2" sheetId="11" r:id="rId9"/>
    <sheet name="結果グラフ_サマリ" sheetId="5" r:id="rId10"/>
    <sheet name="work_graph" sheetId="7" r:id="rId11"/>
  </sheets>
  <functionGroups builtInGroupCount="19"/>
  <definedNames>
    <definedName name="_xlnm._FilterDatabase" localSheetId="3" hidden="1">DataTable!$A$1:$Q$16</definedName>
    <definedName name="_xlnm._FilterDatabase" localSheetId="7" hidden="1">work_scatter1!$N$3:$W$15</definedName>
    <definedName name="_xlnm._FilterDatabase" localSheetId="5" hidden="1">散布図!#REF!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K12" i="3"/>
  <c r="K13" i="3"/>
  <c r="D7" i="2"/>
  <c r="D6" i="2"/>
  <c r="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B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E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J13" authorId="0" shapeId="0" xr:uid="{E390A1A0-4CA7-4BA4-A982-06265BC66EB5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sharedStrings.xml><?xml version="1.0" encoding="utf-8"?>
<sst xmlns="http://schemas.openxmlformats.org/spreadsheetml/2006/main" count="443" uniqueCount="173">
  <si>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</si>
  <si>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</si>
  <si>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</si>
  <si>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</si>
  <si>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</si>
  <si>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</si>
  <si>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</si>
  <si>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Qs</t>
    <phoneticPr fontId="1"/>
  </si>
  <si>
    <t>tokuA</t>
    <phoneticPr fontId="1"/>
  </si>
  <si>
    <t>TGoff/TGon/Qs</t>
    <phoneticPr fontId="1"/>
  </si>
  <si>
    <t>TGoff</t>
    <phoneticPr fontId="1"/>
  </si>
  <si>
    <t>TGon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</si>
  <si>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</si>
  <si>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</si>
  <si>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</si>
  <si>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</si>
  <si>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</si>
  <si>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</si>
  <si>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matB</t>
    <phoneticPr fontId="1"/>
  </si>
  <si>
    <t>CWL1</t>
    <phoneticPr fontId="1"/>
  </si>
  <si>
    <t>e12</t>
    <phoneticPr fontId="1"/>
  </si>
  <si>
    <t>e11</t>
    <phoneticPr fontId="1"/>
  </si>
  <si>
    <t>matD</t>
    <phoneticPr fontId="1"/>
  </si>
  <si>
    <t>matE</t>
    <phoneticPr fontId="1"/>
  </si>
  <si>
    <t>imp01</t>
  </si>
  <si>
    <t>imp02</t>
  </si>
  <si>
    <t>imp03</t>
  </si>
  <si>
    <t>imp04</t>
  </si>
  <si>
    <t>imp05</t>
  </si>
  <si>
    <t>imp06</t>
  </si>
  <si>
    <t>01_TGoff/imp01</t>
  </si>
  <si>
    <t>01_TGoff/imp02</t>
  </si>
  <si>
    <t>01_TGoff/imp03</t>
  </si>
  <si>
    <t>01_TGon/imp04</t>
  </si>
  <si>
    <t>01_TGon/imp05</t>
  </si>
  <si>
    <t>01_TGon/imp06</t>
  </si>
  <si>
    <t>コメント</t>
    <phoneticPr fontId="1"/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</si>
  <si>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</si>
  <si>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</si>
  <si>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</si>
  <si>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</si>
  <si>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</si>
  <si>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</si>
  <si>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</si>
  <si>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</si>
  <si>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</si>
  <si>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</si>
  <si>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</si>
  <si>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</si>
  <si>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</si>
  <si>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</si>
  <si>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</si>
  <si>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</si>
  <si>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</si>
  <si>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</si>
  <si>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</si>
  <si>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</si>
  <si>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</si>
  <si>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Extract8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</si>
  <si>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</si>
  <si>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</si>
  <si>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</si>
  <si>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</si>
  <si>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</si>
  <si>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</si>
  <si>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</si>
  <si>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</si>
  <si>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</si>
  <si>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</si>
  <si>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</si>
  <si>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</si>
  <si>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</si>
  <si>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</si>
  <si>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</si>
  <si>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</si>
  <si>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</si>
  <si>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</si>
  <si>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</si>
  <si>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</si>
  <si>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</si>
  <si>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</si>
  <si>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</si>
  <si>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</si>
  <si>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</si>
  <si>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</si>
  <si>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</si>
  <si>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</si>
  <si>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</si>
  <si>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</si>
  <si>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</si>
  <si>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</si>
  <si>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matA</t>
  </si>
  <si>
    <t>CWL1</t>
  </si>
  <si>
    <t>グラフ作成 散布図　Y軸</t>
    <rPh sb="3" eb="5">
      <t>サクセイ</t>
    </rPh>
    <rPh sb="6" eb="9">
      <t>サンプズ</t>
    </rPh>
    <rPh sb="11" eb="12">
      <t>ジク</t>
    </rPh>
    <phoneticPr fontId="1"/>
  </si>
  <si>
    <t>グラフ作成 散布図　X軸 コンボボックス・グルーピング</t>
    <rPh sb="3" eb="5">
      <t>サクセイ</t>
    </rPh>
    <rPh sb="6" eb="9">
      <t>サンプズ</t>
    </rPh>
    <rPh sb="11" eb="12">
      <t>ジク</t>
    </rPh>
    <phoneticPr fontId="1"/>
  </si>
  <si>
    <t>グラフ作成 散布図　X軸コンボボックス</t>
    <rPh sb="3" eb="5">
      <t>サクセイ</t>
    </rPh>
    <rPh sb="6" eb="9">
      <t>サンプズ</t>
    </rPh>
    <rPh sb="11" eb="12">
      <t>ジク</t>
    </rPh>
    <phoneticPr fontId="1"/>
  </si>
  <si>
    <t>01_TGon/imp07</t>
  </si>
  <si>
    <t>01_TGon/imp08</t>
  </si>
  <si>
    <t>tokuA</t>
  </si>
  <si>
    <t>Qs01</t>
    <phoneticPr fontId="1"/>
  </si>
  <si>
    <t>TEST01</t>
    <phoneticPr fontId="1"/>
  </si>
  <si>
    <t>ZTEST01</t>
    <phoneticPr fontId="1"/>
  </si>
  <si>
    <t>Extract11</t>
  </si>
  <si>
    <t>Qs</t>
    <phoneticPr fontId="1"/>
  </si>
  <si>
    <t>VMAX</t>
    <phoneticPr fontId="1"/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</si>
  <si>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</si>
  <si>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</si>
  <si>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</si>
  <si>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</si>
  <si>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</si>
  <si>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01_TGon</t>
    <phoneticPr fontId="1"/>
  </si>
  <si>
    <t>01_TGoff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</si>
  <si>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</si>
  <si>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</si>
  <si>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</si>
  <si>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</si>
  <si>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</si>
  <si>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</si>
  <si>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</si>
  <si>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1SR</t>
  </si>
  <si>
    <t>matC</t>
  </si>
  <si>
    <t>matC</t>
    <phoneticPr fontId="1"/>
  </si>
  <si>
    <t>As</t>
    <phoneticPr fontId="1"/>
  </si>
  <si>
    <t>B</t>
    <phoneticPr fontId="1"/>
  </si>
  <si>
    <t>300kev</t>
    <phoneticPr fontId="1"/>
  </si>
  <si>
    <t>30kev</t>
    <phoneticPr fontId="1"/>
  </si>
  <si>
    <t>150kev</t>
    <phoneticPr fontId="1"/>
  </si>
  <si>
    <t>100kev</t>
    <phoneticPr fontId="1"/>
  </si>
  <si>
    <t>200kev</t>
    <phoneticPr fontId="1"/>
  </si>
  <si>
    <t>1000kev</t>
    <phoneticPr fontId="1"/>
  </si>
  <si>
    <t>1200kev</t>
    <phoneticPr fontId="1"/>
  </si>
  <si>
    <t>Name</t>
  </si>
  <si>
    <t>Extract1</t>
    <phoneticPr fontId="1"/>
  </si>
  <si>
    <t>Extract2</t>
    <phoneticPr fontId="1"/>
  </si>
  <si>
    <t>imp09</t>
  </si>
  <si>
    <t>matD</t>
  </si>
  <si>
    <t>imp10</t>
  </si>
  <si>
    <t>imp11</t>
  </si>
  <si>
    <t>imp12</t>
  </si>
  <si>
    <t>01_TGon/imp09</t>
  </si>
  <si>
    <t>01_TGon/imp10</t>
  </si>
  <si>
    <t>01_TGon/imp11</t>
  </si>
  <si>
    <t>01_TGon/imp12</t>
  </si>
  <si>
    <t>matC</t>
    <phoneticPr fontId="1"/>
  </si>
  <si>
    <t>設定したいものを色ハッチしてください</t>
    <rPh sb="0" eb="2">
      <t>セッテイ</t>
    </rPh>
    <rPh sb="8" eb="9">
      <t>イロ</t>
    </rPh>
    <phoneticPr fontId="1"/>
  </si>
  <si>
    <t>グルーピングしたいパラメータを色ハッチしてください</t>
    <rPh sb="15" eb="16">
      <t>イロ</t>
    </rPh>
    <phoneticPr fontId="1"/>
  </si>
  <si>
    <t>Qs02</t>
    <phoneticPr fontId="1"/>
  </si>
  <si>
    <t>■ 散布図　グルーピング</t>
    <rPh sb="2" eb="5">
      <t>サンプズ</t>
    </rPh>
    <phoneticPr fontId="1"/>
  </si>
  <si>
    <t>jyoken</t>
  </si>
  <si>
    <t>group</t>
  </si>
  <si>
    <t>x</t>
  </si>
  <si>
    <t>y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</si>
  <si>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</si>
  <si>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</si>
  <si>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</si>
  <si>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</si>
  <si>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X軸</t>
    <rPh sb="1" eb="2">
      <t>ジク</t>
    </rPh>
    <phoneticPr fontId="1"/>
  </si>
  <si>
    <t>Y軸=toku1</t>
    <rPh sb="1" eb="2">
      <t>ジク</t>
    </rPh>
    <phoneticPr fontId="1"/>
  </si>
  <si>
    <t>X軸/Y軸</t>
    <rPh sb="1" eb="2">
      <t>ジク</t>
    </rPh>
    <rPh sb="4" eb="5">
      <t>ジク</t>
    </rPh>
    <phoneticPr fontId="1"/>
  </si>
  <si>
    <t>CWL1 =1.30E+12,matA =3.00E+11,OFD =3.60E+12,</t>
  </si>
  <si>
    <t>CWL1 =1.30E+12,matA =3.00E+11,OFD =3.60E+13,</t>
  </si>
  <si>
    <t>例まで</t>
    <rPh sb="0" eb="1">
      <t>レイ</t>
    </rPh>
    <phoneticPr fontId="1"/>
  </si>
  <si>
    <t>条件</t>
    <rPh sb="0" eb="2">
      <t>ジョウケン</t>
    </rPh>
    <phoneticPr fontId="1"/>
  </si>
  <si>
    <t>filter</t>
  </si>
  <si>
    <t>X軸</t>
  </si>
  <si>
    <t>グルーピング</t>
  </si>
  <si>
    <t>Y軸=toku1</t>
  </si>
  <si>
    <t>Y軸=toku2</t>
  </si>
  <si>
    <t>Y軸=tokuA</t>
  </si>
  <si>
    <t>Y軸=SRpot</t>
  </si>
  <si>
    <t>Y軸=Qs02</t>
  </si>
  <si>
    <t>■[DEBUG] data_ary内容</t>
    <phoneticPr fontId="1"/>
  </si>
  <si>
    <t>■散布図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</si>
</sst>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0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サマリ!$B$2:$B$9</c:f>
              <c:numCache>
                <c:formatCode>General</c:formatCode>
                <c:ptCount val="8"/>
                <c:pt idx="0">
                  <c:v>2.33</c:v>
                </c:pt>
                <c:pt idx="1">
                  <c:v>2.31</c:v>
                </c:pt>
                <c:pt idx="2">
                  <c:v>2.29</c:v>
                </c:pt>
                <c:pt idx="3">
                  <c:v>2.27</c:v>
                </c:pt>
                <c:pt idx="4">
                  <c:v>2.25</c:v>
                </c:pt>
                <c:pt idx="5">
                  <c:v>2.23</c:v>
                </c:pt>
                <c:pt idx="6">
                  <c:v>2.21</c:v>
                </c:pt>
                <c:pt idx="7">
                  <c:v>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84-4EE2-8887-FD292111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サマリ!$C$2:$C$9</c:f>
              <c:numCache>
                <c:formatCode>General</c:formatCode>
                <c:ptCount val="8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5-4409-A542-95DE4D5A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サマリ!$D$2:$D$9</c:f>
              <c:numCache>
                <c:formatCode>General</c:formatCode>
                <c:ptCount val="8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A-482B-8EA4-17879C5B8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散布図!$B$7:$B$10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F-4AE3-AA39-9B2A3615059C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散布図!$C$7:$C$10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F-4AE3-AA39-9B2A3615059C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散布図!$D$7:$D$10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F-4AE3-AA39-9B2A3615059C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散布図!$E$7:$E$10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6F-4AE3-AA39-9B2A36150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散布図!$B$16:$B$19</c:f>
              <c:numCache>
                <c:formatCode>General</c:formatCode>
                <c:ptCount val="4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9-4CBC-BA0E-A929A8651ADA}"/>
            </c:ext>
          </c:extLst>
        </c:ser>
        <c:ser>
          <c:idx val="1"/>
          <c:order val="1"/>
          <c:tx>
            <c:strRef>
              <c:f>散布図!$C$15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散布図!$C$16:$C$19</c:f>
              <c:numCache>
                <c:formatCode>General</c:formatCode>
                <c:ptCount val="4"/>
                <c:pt idx="0">
                  <c:v>6.2199999999999998E-2</c:v>
                </c:pt>
                <c:pt idx="1">
                  <c:v>6.2399999999999997E-2</c:v>
                </c:pt>
                <c:pt idx="2">
                  <c:v>6.2600000000000003E-2</c:v>
                </c:pt>
                <c:pt idx="3">
                  <c:v>6.2799999999999995E-2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9-4CBC-BA0E-A929A8651ADA}"/>
            </c:ext>
          </c:extLst>
        </c:ser>
        <c:ser>
          <c:idx val="2"/>
          <c:order val="2"/>
          <c:tx>
            <c:strRef>
              <c:f>散布図!$D$15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散布図!$D$16:$D$19</c:f>
              <c:numCache>
                <c:formatCode>General</c:formatCode>
                <c:ptCount val="4"/>
                <c:pt idx="0">
                  <c:v>6.3E-2</c:v>
                </c:pt>
                <c:pt idx="1">
                  <c:v>6.3200000000000006E-2</c:v>
                </c:pt>
                <c:pt idx="2">
                  <c:v>6.3399999999999998E-2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C9-4CBC-BA0E-A929A8651ADA}"/>
            </c:ext>
          </c:extLst>
        </c:ser>
        <c:ser>
          <c:idx val="3"/>
          <c:order val="3"/>
          <c:tx>
            <c:strRef>
              <c:f>散布図!$E$15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散布図!$E$16:$E$19</c:f>
              <c:numCache>
                <c:formatCode>General</c:formatCode>
                <c:ptCount val="4"/>
                <c:pt idx="0">
                  <c:v>6.3600000000000004E-2</c:v>
                </c:pt>
                <c:pt idx="1">
                  <c:v>6.3799999999999996E-2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C9-4CBC-BA0E-A929A8651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散布図!$B$24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散布図!$B$25:$B$28</c:f>
              <c:numCache>
                <c:formatCode>General</c:formatCode>
                <c:ptCount val="4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D-4E27-9C2E-4467C0A877F3}"/>
            </c:ext>
          </c:extLst>
        </c:ser>
        <c:ser>
          <c:idx val="1"/>
          <c:order val="1"/>
          <c:tx>
            <c:strRef>
              <c:f>散布図!$C$24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散布図!$C$25:$C$28</c:f>
              <c:numCache>
                <c:formatCode>General</c:formatCode>
                <c:ptCount val="4"/>
                <c:pt idx="0">
                  <c:v>2.0299999999999998</c:v>
                </c:pt>
                <c:pt idx="1">
                  <c:v>1.93</c:v>
                </c:pt>
                <c:pt idx="2">
                  <c:v>1.83</c:v>
                </c:pt>
                <c:pt idx="3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D-4E27-9C2E-4467C0A877F3}"/>
            </c:ext>
          </c:extLst>
        </c:ser>
        <c:ser>
          <c:idx val="2"/>
          <c:order val="2"/>
          <c:tx>
            <c:strRef>
              <c:f>散布図!$D$24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散布図!$D$25:$D$28</c:f>
              <c:numCache>
                <c:formatCode>General</c:formatCode>
                <c:ptCount val="4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7D-4E27-9C2E-4467C0A877F3}"/>
            </c:ext>
          </c:extLst>
        </c:ser>
        <c:ser>
          <c:idx val="3"/>
          <c:order val="3"/>
          <c:tx>
            <c:strRef>
              <c:f>散布図!$E$24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散布図!$E$25:$E$28</c:f>
              <c:numCache>
                <c:formatCode>General</c:formatCode>
                <c:ptCount val="4"/>
                <c:pt idx="0">
                  <c:v>1.33</c:v>
                </c:pt>
                <c:pt idx="1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7D-4E27-9C2E-4467C0A8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散布図!$B$33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散布図!$B$34:$B$37</c:f>
              <c:numCache>
                <c:formatCode>General</c:formatCode>
                <c:ptCount val="4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5B-4E15-93BD-8E5F05B03CAF}"/>
            </c:ext>
          </c:extLst>
        </c:ser>
        <c:ser>
          <c:idx val="1"/>
          <c:order val="1"/>
          <c:tx>
            <c:strRef>
              <c:f>散布図!$C$33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散布図!$C$34:$C$37</c:f>
              <c:numCache>
                <c:formatCode>General</c:formatCode>
                <c:ptCount val="4"/>
                <c:pt idx="0">
                  <c:v>2.35</c:v>
                </c:pt>
                <c:pt idx="1">
                  <c:v>2.37</c:v>
                </c:pt>
                <c:pt idx="2">
                  <c:v>2.39</c:v>
                </c:pt>
                <c:pt idx="3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5B-4E15-93BD-8E5F05B03CAF}"/>
            </c:ext>
          </c:extLst>
        </c:ser>
        <c:ser>
          <c:idx val="2"/>
          <c:order val="2"/>
          <c:tx>
            <c:strRef>
              <c:f>散布図!$D$33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散布図!$D$34:$D$37</c:f>
              <c:numCache>
                <c:formatCode>General</c:formatCode>
                <c:ptCount val="4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5B-4E15-93BD-8E5F05B03CAF}"/>
            </c:ext>
          </c:extLst>
        </c:ser>
        <c:ser>
          <c:idx val="3"/>
          <c:order val="3"/>
          <c:tx>
            <c:strRef>
              <c:f>散布図!$E$33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散布図!$E$34:$E$37</c:f>
              <c:numCache>
                <c:formatCode>General</c:formatCode>
                <c:ptCount val="4"/>
                <c:pt idx="0">
                  <c:v>2.4900000000000002</c:v>
                </c:pt>
                <c:pt idx="1">
                  <c:v>2.5099999999999998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5B-4E15-93BD-8E5F05B0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散布図!$B$42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散布図!$A$43:$A$46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散布図!$B$43:$B$46</c:f>
              <c:numCache>
                <c:formatCode>General</c:formatCode>
                <c:ptCount val="4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D-4935-B10E-D6C109EBC69D}"/>
            </c:ext>
          </c:extLst>
        </c:ser>
        <c:ser>
          <c:idx val="1"/>
          <c:order val="1"/>
          <c:tx>
            <c:strRef>
              <c:f>散布図!$C$42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散布図!$A$43:$A$46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散布図!$C$43:$C$46</c:f>
              <c:numCache>
                <c:formatCode>General</c:formatCode>
                <c:ptCount val="4"/>
                <c:pt idx="0">
                  <c:v>0.397666666666667</c:v>
                </c:pt>
                <c:pt idx="1">
                  <c:v>0.396666666666667</c:v>
                </c:pt>
                <c:pt idx="2">
                  <c:v>0.395666666666667</c:v>
                </c:pt>
                <c:pt idx="3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4D-4935-B10E-D6C109EBC69D}"/>
            </c:ext>
          </c:extLst>
        </c:ser>
        <c:ser>
          <c:idx val="2"/>
          <c:order val="2"/>
          <c:tx>
            <c:strRef>
              <c:f>散布図!$D$42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散布図!$A$43:$A$46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散布図!$D$43:$D$46</c:f>
              <c:numCache>
                <c:formatCode>General</c:formatCode>
                <c:ptCount val="4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4D-4935-B10E-D6C109EBC69D}"/>
            </c:ext>
          </c:extLst>
        </c:ser>
        <c:ser>
          <c:idx val="3"/>
          <c:order val="3"/>
          <c:tx>
            <c:strRef>
              <c:f>散布図!$E$42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散布図!$A$43:$A$46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散布図!$E$43:$E$46</c:f>
              <c:numCache>
                <c:formatCode>General</c:formatCode>
                <c:ptCount val="4"/>
                <c:pt idx="0">
                  <c:v>0.390666666666667</c:v>
                </c:pt>
                <c:pt idx="1">
                  <c:v>0.38966666666666699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4D-4935-B10E-D6C109EBC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work_scatter2!$G$5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work_scatter2!$G$6:$G$9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D-4F1A-A2BE-44CA41D5855B}"/>
            </c:ext>
          </c:extLst>
        </c:ser>
        <c:ser>
          <c:idx val="1"/>
          <c:order val="1"/>
          <c:tx>
            <c:strRef>
              <c:f>work_scatter2!$H$5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work_scatter2!$H$6:$H$9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D-4F1A-A2BE-44CA41D5855B}"/>
            </c:ext>
          </c:extLst>
        </c:ser>
        <c:ser>
          <c:idx val="2"/>
          <c:order val="2"/>
          <c:tx>
            <c:strRef>
              <c:f>work_scatter2!$I$5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work_scatter2!$I$6:$I$9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CD-4F1A-A2BE-44CA41D5855B}"/>
            </c:ext>
          </c:extLst>
        </c:ser>
        <c:ser>
          <c:idx val="3"/>
          <c:order val="3"/>
          <c:tx>
            <c:strRef>
              <c:f>work_scatter2!$J$5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work_scatter2!$J$6:$J$9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CD-4F1A-A2BE-44CA41D58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C$14" fmlaRange="work_graph!A2:A7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161925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228600</xdr:rowOff>
        </xdr:from>
        <xdr:to>
          <xdr:col>3</xdr:col>
          <xdr:colOff>104775</xdr:colOff>
          <xdr:row>6</xdr:row>
          <xdr:rowOff>66675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9525</xdr:rowOff>
        </xdr:from>
        <xdr:to>
          <xdr:col>3</xdr:col>
          <xdr:colOff>123825</xdr:colOff>
          <xdr:row>8</xdr:row>
          <xdr:rowOff>85725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57150</xdr:rowOff>
        </xdr:from>
        <xdr:to>
          <xdr:col>2</xdr:col>
          <xdr:colOff>542925</xdr:colOff>
          <xdr:row>13</xdr:row>
          <xdr:rowOff>85725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</xdr:rowOff>
        </xdr:from>
        <xdr:to>
          <xdr:col>6</xdr:col>
          <xdr:colOff>238125</xdr:colOff>
          <xdr:row>2</xdr:row>
          <xdr:rowOff>85725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</xdr:row>
          <xdr:rowOff>9525</xdr:rowOff>
        </xdr:from>
        <xdr:to>
          <xdr:col>10</xdr:col>
          <xdr:colOff>666750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16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16</xdr:col>
      <xdr:colOff>457200</xdr:colOff>
      <xdr:row>25</xdr:row>
      <xdr:rowOff>123825</xdr:rowOff>
    </xdr:to>
    <xdr:graphicFrame macro="">
      <xdr:nvGraphicFramePr>
        <xdr:cNvPr id="6" name="グラフ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16</xdr:col>
      <xdr:colOff>457200</xdr:colOff>
      <xdr:row>40</xdr:row>
      <xdr:rowOff>123825</xdr:rowOff>
    </xdr:to>
    <xdr:graphicFrame macro="">
      <xdr:nvGraphicFramePr>
        <xdr:cNvPr id="7" name="グラフ 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15</xdr:row>
      <xdr:rowOff>9525</xdr:rowOff>
    </xdr:to>
    <xdr:graphicFrame macro="">
      <xdr:nvGraphicFramePr>
        <xdr:cNvPr id="27" name="graph_scatter_010">
          <a:extLst>
            <a:ext uri="{FF2B5EF4-FFF2-40B4-BE49-F238E27FC236}">
              <a16:creationId xmlns:a16="http://schemas.microsoft.com/office/drawing/2014/main" id="{E82CF891-0937-451C-A1EF-DC17E113F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24</xdr:row>
      <xdr:rowOff>9525</xdr:rowOff>
    </xdr:to>
    <xdr:graphicFrame macro="">
      <xdr:nvGraphicFramePr>
        <xdr:cNvPr id="28" name="graph_scatter_2">
          <a:extLst>
            <a:ext uri="{FF2B5EF4-FFF2-40B4-BE49-F238E27FC236}">
              <a16:creationId xmlns:a16="http://schemas.microsoft.com/office/drawing/2014/main" id="{2BD4CD47-7243-4885-B1E3-A05DACDD5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9</xdr:col>
      <xdr:colOff>519112</xdr:colOff>
      <xdr:row>33</xdr:row>
      <xdr:rowOff>9525</xdr:rowOff>
    </xdr:to>
    <xdr:graphicFrame macro="">
      <xdr:nvGraphicFramePr>
        <xdr:cNvPr id="29" name="graph_scatter_3">
          <a:extLst>
            <a:ext uri="{FF2B5EF4-FFF2-40B4-BE49-F238E27FC236}">
              <a16:creationId xmlns:a16="http://schemas.microsoft.com/office/drawing/2014/main" id="{8A548FF7-5B58-4001-BAC4-6FF20E721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32</xdr:row>
      <xdr:rowOff>0</xdr:rowOff>
    </xdr:from>
    <xdr:to>
      <xdr:col>9</xdr:col>
      <xdr:colOff>519112</xdr:colOff>
      <xdr:row>42</xdr:row>
      <xdr:rowOff>9525</xdr:rowOff>
    </xdr:to>
    <xdr:graphicFrame macro="">
      <xdr:nvGraphicFramePr>
        <xdr:cNvPr id="30" name="graph_scatter_4">
          <a:extLst>
            <a:ext uri="{FF2B5EF4-FFF2-40B4-BE49-F238E27FC236}">
              <a16:creationId xmlns:a16="http://schemas.microsoft.com/office/drawing/2014/main" id="{5C2C7E4B-326A-4459-A7FF-9E0A9E86C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41</xdr:row>
      <xdr:rowOff>0</xdr:rowOff>
    </xdr:from>
    <xdr:to>
      <xdr:col>9</xdr:col>
      <xdr:colOff>519112</xdr:colOff>
      <xdr:row>51</xdr:row>
      <xdr:rowOff>9525</xdr:rowOff>
    </xdr:to>
    <xdr:graphicFrame macro="">
      <xdr:nvGraphicFramePr>
        <xdr:cNvPr id="31" name="graph_scatter_5">
          <a:extLst>
            <a:ext uri="{FF2B5EF4-FFF2-40B4-BE49-F238E27FC236}">
              <a16:creationId xmlns:a16="http://schemas.microsoft.com/office/drawing/2014/main" id="{08498C09-519F-497E-A793-B49F43F11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180975</xdr:colOff>
      <xdr:row>0</xdr:row>
      <xdr:rowOff>171450</xdr:rowOff>
    </xdr:from>
    <xdr:to>
      <xdr:col>20</xdr:col>
      <xdr:colOff>14287</xdr:colOff>
      <xdr:row>10</xdr:row>
      <xdr:rowOff>180975</xdr:rowOff>
    </xdr:to>
    <xdr:graphicFrame macro="">
      <xdr:nvGraphicFramePr>
        <xdr:cNvPr id="5" name="scatter_graph_template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O19"/>
  <sheetViews>
    <sheetView workbookViewId="0">
      <selection activeCell="E5" sqref="E5"/>
    </sheetView>
  </sheetViews>
  <sheetFormatPr defaultRowHeight="18.75"/>
  <cols>
    <col min="1" max="13" width="9" style="13"/>
    <col min="14" max="14" width="11.625" style="13" bestFit="1" customWidth="1"/>
    <col min="15" max="16384" width="9" style="13"/>
  </cols>
  <sheetData>
    <row r="1" spans="1:15" ht="33">
      <c r="A1" s="15" t="s">
        <v>81</v>
      </c>
    </row>
    <row r="2" spans="1:15">
      <c r="A2" s="13" t="s">
        <v>82</v>
      </c>
    </row>
    <row r="10" spans="1:15" ht="45.75" customHeight="1"/>
    <row r="11" spans="1:15" ht="45.75" customHeight="1"/>
    <row r="12" spans="1:15">
      <c r="B12" s="13" t="s">
        <v>80</v>
      </c>
      <c r="C12" s="13" t="s">
        <v>143</v>
      </c>
      <c r="E12" s="13" t="s">
        <v>83</v>
      </c>
    </row>
    <row r="13" spans="1:15">
      <c r="E13" s="13" t="s">
        <v>144</v>
      </c>
      <c r="J13" s="13" t="s">
        <v>145</v>
      </c>
    </row>
    <row r="14" spans="1:15">
      <c r="C14" s="13">
        <v>1</v>
      </c>
    </row>
    <row r="15" spans="1:15">
      <c r="E15" s="14" t="s">
        <v>112</v>
      </c>
      <c r="J15" s="16" t="s">
        <v>92</v>
      </c>
      <c r="K15" s="16" t="s">
        <v>91</v>
      </c>
      <c r="L15" s="16" t="s">
        <v>120</v>
      </c>
      <c r="M15" s="16" t="s">
        <v>135</v>
      </c>
      <c r="N15" s="16" t="s">
        <v>64</v>
      </c>
      <c r="O15" s="16" t="s">
        <v>119</v>
      </c>
    </row>
    <row r="16" spans="1:15">
      <c r="E16" s="14" t="s">
        <v>85</v>
      </c>
      <c r="J16" s="14">
        <v>1100000000000</v>
      </c>
      <c r="K16" s="14">
        <v>200000000000</v>
      </c>
      <c r="L16" s="14">
        <v>5200000000000</v>
      </c>
      <c r="M16" s="14">
        <v>1</v>
      </c>
      <c r="N16" s="14">
        <v>311000000000</v>
      </c>
      <c r="O16" s="14">
        <v>-1.1000000000000001</v>
      </c>
    </row>
    <row r="17" spans="5:15">
      <c r="E17" s="14" t="s">
        <v>87</v>
      </c>
      <c r="J17" s="14">
        <v>1200000000000</v>
      </c>
      <c r="K17" s="14">
        <v>300000000000</v>
      </c>
      <c r="L17" s="14">
        <v>5300000000000</v>
      </c>
      <c r="M17" s="14">
        <v>2</v>
      </c>
      <c r="N17" s="14">
        <v>330000000000</v>
      </c>
      <c r="O17" s="14">
        <v>-1.2</v>
      </c>
    </row>
    <row r="18" spans="5:15">
      <c r="E18" s="14" t="s">
        <v>98</v>
      </c>
      <c r="J18" s="14">
        <v>1300000000000</v>
      </c>
      <c r="K18" s="14"/>
      <c r="L18" s="14">
        <v>5400000000000</v>
      </c>
      <c r="M18" s="14">
        <v>3</v>
      </c>
      <c r="N18" s="14">
        <v>360000000000</v>
      </c>
      <c r="O18" s="14">
        <v>-1.3</v>
      </c>
    </row>
    <row r="19" spans="5:15">
      <c r="E19" s="14" t="s">
        <v>146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209550</xdr:colOff>
                    <xdr:row>2</xdr:row>
                    <xdr:rowOff>161925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190500</xdr:colOff>
                    <xdr:row>4</xdr:row>
                    <xdr:rowOff>228600</xdr:rowOff>
                  </from>
                  <to>
                    <xdr:col>3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グラフ作成_Button_read_speed_Click">
                <anchor moveWithCells="1" sizeWithCells="1">
                  <from>
                    <xdr:col>0</xdr:col>
                    <xdr:colOff>209550</xdr:colOff>
                    <xdr:row>7</xdr:row>
                    <xdr:rowOff>9525</xdr:rowOff>
                  </from>
                  <to>
                    <xdr:col>3</xdr:col>
                    <xdr:colOff>123825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590550</xdr:colOff>
                    <xdr:row>12</xdr:row>
                    <xdr:rowOff>57150</xdr:rowOff>
                  </from>
                  <to>
                    <xdr:col>2</xdr:col>
                    <xdr:colOff>542925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6</xdr:col>
                    <xdr:colOff>561975</xdr:colOff>
                    <xdr:row>1</xdr:row>
                    <xdr:rowOff>9525</xdr:rowOff>
                  </from>
                  <to>
                    <xdr:col>10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/>
  </sheetPr>
  <dimension ref="A1:H6"/>
  <sheetViews>
    <sheetView workbookViewId="0"/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12</v>
      </c>
      <c r="G1" s="2" t="s">
        <v>13</v>
      </c>
      <c r="H1" s="2" t="s">
        <v>14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10</v>
      </c>
      <c r="F2" s="2"/>
      <c r="G2" s="2"/>
      <c r="H2" s="2"/>
    </row>
    <row r="3" spans="1:8">
      <c r="A3" t="s">
        <v>86</v>
      </c>
      <c r="B3" s="2"/>
      <c r="C3" s="2" t="s">
        <v>6</v>
      </c>
      <c r="D3" s="2">
        <v>-0.16200000000000001</v>
      </c>
      <c r="E3" s="2" t="s">
        <v>10</v>
      </c>
      <c r="F3" s="2"/>
      <c r="G3" s="2"/>
      <c r="H3" s="2"/>
    </row>
    <row r="4" spans="1:8">
      <c r="A4" t="s">
        <v>88</v>
      </c>
      <c r="B4" s="2">
        <v>-0.33</v>
      </c>
      <c r="C4" s="2" t="s">
        <v>6</v>
      </c>
      <c r="D4" s="2"/>
      <c r="E4" s="2" t="s">
        <v>11</v>
      </c>
      <c r="F4" s="2"/>
      <c r="G4" s="2"/>
      <c r="H4" s="2"/>
    </row>
    <row r="5" spans="1:8">
      <c r="A5" t="s">
        <v>8</v>
      </c>
      <c r="B5" s="2"/>
      <c r="C5" s="2" t="s">
        <v>6</v>
      </c>
      <c r="D5" s="3">
        <v>802000000000</v>
      </c>
      <c r="E5" s="2" t="s">
        <v>11</v>
      </c>
      <c r="F5" s="2"/>
      <c r="G5" s="2"/>
      <c r="H5" s="2" t="s">
        <v>15</v>
      </c>
    </row>
    <row r="6" spans="1:8">
      <c r="A6" t="s">
        <v>109</v>
      </c>
      <c r="B6" s="2"/>
      <c r="C6" s="2" t="s">
        <v>6</v>
      </c>
      <c r="D6" s="2">
        <v>20000</v>
      </c>
      <c r="E6" s="2" t="s">
        <v>7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7:M22"/>
  <sheetViews>
    <sheetView topLeftCell="B7" workbookViewId="0">
      <selection activeCell="I11" sqref="I11:I22"/>
    </sheetView>
  </sheetViews>
  <sheetFormatPr defaultRowHeight="18.75"/>
  <cols>
    <col min="2" max="2" width="10.5" bestFit="1" customWidth="1"/>
    <col min="4" max="4" width="10.5" bestFit="1" customWidth="1"/>
    <col min="5" max="5" width="16" bestFit="1" customWidth="1"/>
    <col min="7" max="7" width="9.5" bestFit="1" customWidth="1"/>
    <col min="8" max="10" width="9" customWidth="1"/>
    <col min="11" max="11" width="11" bestFit="1" customWidth="1"/>
  </cols>
  <sheetData>
    <row r="7" spans="1:13">
      <c r="B7" t="s">
        <v>36</v>
      </c>
      <c r="C7" t="s">
        <v>36</v>
      </c>
      <c r="D7" t="s">
        <v>36</v>
      </c>
      <c r="F7" t="s">
        <v>122</v>
      </c>
      <c r="G7" t="s">
        <v>122</v>
      </c>
      <c r="H7" t="s">
        <v>123</v>
      </c>
      <c r="I7" t="s">
        <v>123</v>
      </c>
      <c r="J7" t="s">
        <v>123</v>
      </c>
      <c r="K7" t="s">
        <v>123</v>
      </c>
      <c r="L7" t="s">
        <v>123</v>
      </c>
      <c r="M7" t="s">
        <v>122</v>
      </c>
    </row>
    <row r="8" spans="1:13">
      <c r="F8" t="s">
        <v>124</v>
      </c>
      <c r="G8" t="s">
        <v>127</v>
      </c>
      <c r="H8" t="s">
        <v>128</v>
      </c>
      <c r="I8" t="s">
        <v>124</v>
      </c>
      <c r="J8" t="s">
        <v>129</v>
      </c>
      <c r="K8" t="s">
        <v>125</v>
      </c>
      <c r="L8" t="s">
        <v>126</v>
      </c>
      <c r="M8" t="s">
        <v>130</v>
      </c>
    </row>
    <row r="9" spans="1:13">
      <c r="A9" t="s">
        <v>36</v>
      </c>
      <c r="F9" t="s">
        <v>20</v>
      </c>
      <c r="G9" t="s">
        <v>20</v>
      </c>
      <c r="H9" t="s">
        <v>20</v>
      </c>
      <c r="I9" t="s">
        <v>21</v>
      </c>
      <c r="J9" t="s">
        <v>20</v>
      </c>
      <c r="K9" t="s">
        <v>21</v>
      </c>
      <c r="L9" t="s">
        <v>20</v>
      </c>
      <c r="M9" t="s">
        <v>20</v>
      </c>
    </row>
    <row r="10" spans="1:13">
      <c r="E10" s="2" t="s">
        <v>16</v>
      </c>
      <c r="F10" s="2" t="s">
        <v>19</v>
      </c>
      <c r="G10" s="2" t="s">
        <v>17</v>
      </c>
      <c r="H10" s="2" t="s">
        <v>18</v>
      </c>
      <c r="I10" s="2" t="s">
        <v>121</v>
      </c>
      <c r="J10" s="2" t="s">
        <v>22</v>
      </c>
      <c r="K10" s="2" t="s">
        <v>65</v>
      </c>
      <c r="L10" s="2" t="s">
        <v>66</v>
      </c>
      <c r="M10" s="2" t="s">
        <v>23</v>
      </c>
    </row>
    <row r="11" spans="1:13">
      <c r="E11" s="2" t="s">
        <v>30</v>
      </c>
      <c r="F11" s="1">
        <v>1100000000000</v>
      </c>
      <c r="G11" s="1">
        <v>200000000000</v>
      </c>
      <c r="H11" s="2">
        <v>1</v>
      </c>
      <c r="I11" s="24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31</v>
      </c>
      <c r="F12" s="1">
        <v>1100000000000</v>
      </c>
      <c r="G12" s="1">
        <v>200000000000</v>
      </c>
      <c r="H12" s="2">
        <v>1</v>
      </c>
      <c r="I12" s="22">
        <v>5300000000000</v>
      </c>
      <c r="J12" s="19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32</v>
      </c>
      <c r="F13" s="1">
        <v>1100000000000</v>
      </c>
      <c r="G13" s="1">
        <v>200000000000</v>
      </c>
      <c r="H13" s="2">
        <v>1</v>
      </c>
      <c r="I13" s="28">
        <v>5400000000000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33</v>
      </c>
      <c r="F14" s="4">
        <v>1200000000000</v>
      </c>
      <c r="G14" s="1">
        <v>200000000000</v>
      </c>
      <c r="H14" s="2">
        <v>1</v>
      </c>
      <c r="I14" s="24">
        <v>5200000000000</v>
      </c>
      <c r="J14" s="2">
        <v>1</v>
      </c>
      <c r="K14" s="25">
        <v>330000000000</v>
      </c>
      <c r="L14" s="17">
        <v>-1.2</v>
      </c>
      <c r="M14" s="2">
        <v>2</v>
      </c>
    </row>
    <row r="15" spans="1:13">
      <c r="E15" s="2" t="s">
        <v>34</v>
      </c>
      <c r="F15" s="4">
        <v>1200000000000</v>
      </c>
      <c r="G15" s="1">
        <v>200000000000</v>
      </c>
      <c r="H15" s="2">
        <v>1</v>
      </c>
      <c r="I15" s="22">
        <v>5300000000000</v>
      </c>
      <c r="J15" s="19">
        <v>2</v>
      </c>
      <c r="K15" s="25">
        <v>330000000000</v>
      </c>
      <c r="L15" s="17">
        <v>-1.2</v>
      </c>
      <c r="M15" s="2">
        <v>2</v>
      </c>
    </row>
    <row r="16" spans="1:13">
      <c r="E16" s="2" t="s">
        <v>35</v>
      </c>
      <c r="F16" s="4">
        <v>1200000000000</v>
      </c>
      <c r="G16" s="1">
        <v>200000000000</v>
      </c>
      <c r="H16" s="2">
        <v>1</v>
      </c>
      <c r="I16" s="28">
        <v>5400000000000</v>
      </c>
      <c r="J16" s="20">
        <v>3</v>
      </c>
      <c r="K16" s="25">
        <v>330000000000</v>
      </c>
      <c r="L16" s="17">
        <v>-1.2</v>
      </c>
      <c r="M16" s="2">
        <v>2</v>
      </c>
    </row>
    <row r="17" spans="5:13">
      <c r="E17" s="2" t="s">
        <v>96</v>
      </c>
      <c r="F17" s="4">
        <v>1200000000000</v>
      </c>
      <c r="G17" s="1">
        <v>200000000000</v>
      </c>
      <c r="H17" s="2">
        <v>1</v>
      </c>
      <c r="I17" s="23">
        <v>5400000000000</v>
      </c>
      <c r="J17" s="2">
        <v>1</v>
      </c>
      <c r="K17" s="25">
        <v>330000000000</v>
      </c>
      <c r="L17" s="18">
        <v>-1.3</v>
      </c>
      <c r="M17" s="2">
        <v>2</v>
      </c>
    </row>
    <row r="18" spans="5:13">
      <c r="E18" s="2" t="s">
        <v>97</v>
      </c>
      <c r="F18" s="4">
        <v>1300000000000</v>
      </c>
      <c r="G18" s="26">
        <v>300000000000</v>
      </c>
      <c r="H18" s="2">
        <v>1</v>
      </c>
      <c r="I18" s="24">
        <v>5200000000000</v>
      </c>
      <c r="J18" s="19">
        <v>2</v>
      </c>
      <c r="K18" s="25">
        <v>330000000000</v>
      </c>
      <c r="L18" s="18">
        <v>-1.3</v>
      </c>
      <c r="M18" s="2">
        <v>2</v>
      </c>
    </row>
    <row r="19" spans="5:13">
      <c r="E19" s="2" t="s">
        <v>139</v>
      </c>
      <c r="F19" s="4">
        <v>1300000000000</v>
      </c>
      <c r="G19" s="26">
        <v>300000000000</v>
      </c>
      <c r="H19" s="2">
        <v>1</v>
      </c>
      <c r="I19" s="22">
        <v>5300000000000</v>
      </c>
      <c r="J19" s="20">
        <v>3</v>
      </c>
      <c r="K19" s="25">
        <v>330000000000</v>
      </c>
      <c r="L19" s="18">
        <v>-1.3</v>
      </c>
      <c r="M19" s="2">
        <v>2</v>
      </c>
    </row>
    <row r="20" spans="5:13">
      <c r="E20" s="2" t="s">
        <v>140</v>
      </c>
      <c r="F20" s="4">
        <v>1300000000000</v>
      </c>
      <c r="G20" s="26">
        <v>300000000000</v>
      </c>
      <c r="H20" s="2">
        <v>1</v>
      </c>
      <c r="I20" s="28">
        <v>5400000000000</v>
      </c>
      <c r="J20" s="2">
        <v>1</v>
      </c>
      <c r="K20" s="25">
        <v>330000000000</v>
      </c>
      <c r="L20" s="18">
        <v>-1.3</v>
      </c>
      <c r="M20" s="2">
        <v>2</v>
      </c>
    </row>
    <row r="21" spans="5:13">
      <c r="E21" s="2" t="s">
        <v>141</v>
      </c>
      <c r="F21" s="4">
        <v>1300000000000</v>
      </c>
      <c r="G21" s="26">
        <v>300000000000</v>
      </c>
      <c r="H21" s="2">
        <v>1</v>
      </c>
      <c r="I21" s="24">
        <v>5200000000000</v>
      </c>
      <c r="J21" s="19">
        <v>2</v>
      </c>
      <c r="K21" s="27">
        <v>360000000000</v>
      </c>
      <c r="L21" s="18">
        <v>-1.3</v>
      </c>
      <c r="M21" s="2">
        <v>2</v>
      </c>
    </row>
    <row r="22" spans="5:13">
      <c r="E22" s="2" t="s">
        <v>142</v>
      </c>
      <c r="F22" s="4">
        <v>1300000000000</v>
      </c>
      <c r="G22" s="26">
        <v>300000000000</v>
      </c>
      <c r="H22" s="2">
        <v>1</v>
      </c>
      <c r="I22" s="22">
        <v>5300000000000</v>
      </c>
      <c r="J22" s="20">
        <v>3</v>
      </c>
      <c r="K22" s="27">
        <v>360000000000</v>
      </c>
      <c r="L22" s="18">
        <v>-1.3</v>
      </c>
      <c r="M22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FB0E-A6D2-4728-9FE3-45F329AEED13}">
  <sheetPr codeName="Sheet7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43</v>
      </c>
      <c r="G1" t="s">
        <v>46</v>
      </c>
      <c r="H1" t="s">
        <v>110</v>
      </c>
      <c r="I1" t="s">
        <v>51</v>
      </c>
      <c r="J1" t="s">
        <v>51</v>
      </c>
      <c r="K1" t="s">
        <v>51</v>
      </c>
      <c r="L1" t="s">
        <v>51</v>
      </c>
      <c r="M1" t="s">
        <v>111</v>
      </c>
      <c r="N1" t="s">
        <v>40</v>
      </c>
      <c r="O1" t="s">
        <v>51</v>
      </c>
      <c r="P1" t="s">
        <v>7</v>
      </c>
      <c r="Q1" t="s">
        <v>7</v>
      </c>
    </row>
    <row r="2" spans="1:17">
      <c r="A2" s="5" t="s">
        <v>37</v>
      </c>
      <c r="B2" t="s">
        <v>19</v>
      </c>
      <c r="C2" t="s">
        <v>17</v>
      </c>
      <c r="D2" t="s">
        <v>65</v>
      </c>
      <c r="E2" t="s">
        <v>121</v>
      </c>
      <c r="F2" s="5" t="s">
        <v>108</v>
      </c>
      <c r="G2" t="s">
        <v>45</v>
      </c>
      <c r="H2" t="s">
        <v>52</v>
      </c>
      <c r="I2" t="s">
        <v>53</v>
      </c>
      <c r="J2" t="s">
        <v>54</v>
      </c>
      <c r="K2" t="s">
        <v>55</v>
      </c>
      <c r="L2" t="s">
        <v>56</v>
      </c>
      <c r="M2" t="s">
        <v>57</v>
      </c>
      <c r="N2" t="s">
        <v>59</v>
      </c>
      <c r="O2" t="s">
        <v>102</v>
      </c>
      <c r="P2" t="s">
        <v>132</v>
      </c>
      <c r="Q2" t="s">
        <v>133</v>
      </c>
    </row>
    <row r="3" spans="1:17">
      <c r="A3" s="5" t="s">
        <v>38</v>
      </c>
      <c r="B3" s="1" t="s">
        <v>41</v>
      </c>
      <c r="C3" s="1" t="s">
        <v>41</v>
      </c>
      <c r="D3" s="1" t="s">
        <v>41</v>
      </c>
      <c r="E3" s="1" t="s">
        <v>41</v>
      </c>
      <c r="F3" s="5" t="s">
        <v>37</v>
      </c>
      <c r="G3" t="s">
        <v>86</v>
      </c>
      <c r="H3" t="s">
        <v>88</v>
      </c>
      <c r="I3" t="s">
        <v>90</v>
      </c>
      <c r="J3" t="s">
        <v>8</v>
      </c>
      <c r="K3" t="s">
        <v>47</v>
      </c>
      <c r="L3" t="s">
        <v>48</v>
      </c>
      <c r="M3" s="21" t="s">
        <v>5</v>
      </c>
      <c r="N3" t="s">
        <v>100</v>
      </c>
      <c r="O3" t="s">
        <v>101</v>
      </c>
      <c r="P3" t="s">
        <v>99</v>
      </c>
      <c r="Q3" t="s">
        <v>109</v>
      </c>
    </row>
    <row r="4" spans="1:17">
      <c r="A4" s="5" t="s">
        <v>39</v>
      </c>
      <c r="B4" t="s">
        <v>42</v>
      </c>
      <c r="C4" t="s">
        <v>42</v>
      </c>
      <c r="D4" t="s">
        <v>42</v>
      </c>
      <c r="E4" t="s">
        <v>42</v>
      </c>
      <c r="F4" s="5" t="s">
        <v>44</v>
      </c>
      <c r="G4" t="s">
        <v>49</v>
      </c>
      <c r="H4" t="s">
        <v>50</v>
      </c>
      <c r="I4" t="s">
        <v>50</v>
      </c>
      <c r="J4" t="s">
        <v>105</v>
      </c>
      <c r="K4" t="s">
        <v>106</v>
      </c>
      <c r="L4" t="s">
        <v>107</v>
      </c>
      <c r="M4" t="s">
        <v>104</v>
      </c>
      <c r="N4" t="s">
        <v>104</v>
      </c>
      <c r="O4" t="s">
        <v>104</v>
      </c>
      <c r="P4" t="s">
        <v>103</v>
      </c>
      <c r="Q4" t="s">
        <v>7</v>
      </c>
    </row>
    <row r="5" spans="1:17">
      <c r="A5" t="s">
        <v>24</v>
      </c>
      <c r="B5" s="1">
        <v>1100000000000</v>
      </c>
      <c r="C5" s="1">
        <v>200000000000</v>
      </c>
      <c r="D5">
        <f>311000000000</f>
        <v>311000000000</v>
      </c>
      <c r="E5" s="24">
        <v>5200000000000</v>
      </c>
      <c r="F5" t="s">
        <v>24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25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25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26</v>
      </c>
      <c r="B7" s="1">
        <v>1100000000000</v>
      </c>
      <c r="C7" s="1">
        <v>200000000000</v>
      </c>
      <c r="D7">
        <f>311000000000</f>
        <v>311000000000</v>
      </c>
      <c r="E7" s="28">
        <v>5400000000000</v>
      </c>
      <c r="F7" t="s">
        <v>26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27</v>
      </c>
      <c r="B8" s="4">
        <v>1200000000000</v>
      </c>
      <c r="C8" s="1">
        <v>200000000000</v>
      </c>
      <c r="D8" s="25">
        <v>330000000000</v>
      </c>
      <c r="E8" s="24">
        <v>5200000000000</v>
      </c>
      <c r="F8" t="s">
        <v>27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28</v>
      </c>
      <c r="B9" s="4">
        <v>1200000000000</v>
      </c>
      <c r="C9" s="1">
        <v>200000000000</v>
      </c>
      <c r="D9" s="25">
        <v>330000000000</v>
      </c>
      <c r="E9" s="22">
        <v>5300000000000</v>
      </c>
      <c r="F9" t="s">
        <v>28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29</v>
      </c>
      <c r="B10" s="4">
        <v>1200000000000</v>
      </c>
      <c r="C10" s="1">
        <v>200000000000</v>
      </c>
      <c r="D10" s="25">
        <v>330000000000</v>
      </c>
      <c r="E10" s="28">
        <v>5400000000000</v>
      </c>
      <c r="F10" t="s">
        <v>29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114</v>
      </c>
      <c r="B11" s="4">
        <v>1200000000000</v>
      </c>
      <c r="C11" s="1">
        <v>200000000000</v>
      </c>
      <c r="D11" s="25">
        <v>330000000000</v>
      </c>
      <c r="E11" s="23">
        <v>5500000000000</v>
      </c>
      <c r="F11" t="s">
        <v>114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115</v>
      </c>
      <c r="B12" s="4">
        <v>1300000000000</v>
      </c>
      <c r="C12" s="26">
        <v>300000000000</v>
      </c>
      <c r="D12" s="25">
        <v>330000000000</v>
      </c>
      <c r="E12" s="24">
        <v>5200000000000</v>
      </c>
      <c r="F12" t="s">
        <v>115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134</v>
      </c>
      <c r="B13" s="4">
        <v>1300000000000</v>
      </c>
      <c r="C13" s="26">
        <v>300000000000</v>
      </c>
      <c r="D13" s="25">
        <v>330000000000</v>
      </c>
      <c r="E13" s="22">
        <v>5300000000000</v>
      </c>
      <c r="F13" t="s">
        <v>134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136</v>
      </c>
      <c r="B14" s="4">
        <v>1300000000000</v>
      </c>
      <c r="C14" s="26">
        <v>300000000000</v>
      </c>
      <c r="D14" s="25">
        <v>330000000000</v>
      </c>
      <c r="E14" s="28">
        <v>5400000000000</v>
      </c>
      <c r="F14" t="s">
        <v>136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137</v>
      </c>
      <c r="B15" s="4">
        <v>1300000000000</v>
      </c>
      <c r="C15" s="26">
        <v>300000000000</v>
      </c>
      <c r="D15" s="27">
        <v>360000000000</v>
      </c>
      <c r="E15" s="24">
        <v>5200000000000</v>
      </c>
      <c r="F15" t="s">
        <v>137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138</v>
      </c>
      <c r="B16" s="4">
        <v>1300000000000</v>
      </c>
      <c r="C16" s="26">
        <v>300000000000</v>
      </c>
      <c r="D16" s="27">
        <v>360000000000</v>
      </c>
      <c r="E16" s="22">
        <v>5300000000000</v>
      </c>
      <c r="F16" t="s">
        <v>138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1897-D6BD-4693-962C-F5D32B2CC943}">
  <sheetPr codeName="Sheet10">
    <tabColor rgb="FFFFFF00"/>
  </sheetPr>
  <dimension ref="A1:D9"/>
  <sheetViews>
    <sheetView workbookViewId="0">
      <selection activeCell="H9" sqref="H9"/>
    </sheetView>
  </sheetViews>
  <sheetFormatPr defaultRowHeight="18.75"/>
  <sheetData>
    <row r="1" spans="1:4">
      <c r="A1" t="s">
        <v>131</v>
      </c>
      <c r="B1" t="s">
        <v>112</v>
      </c>
      <c r="C1" t="s">
        <v>113</v>
      </c>
      <c r="D1" t="s">
        <v>98</v>
      </c>
    </row>
    <row r="2" spans="1:4">
      <c r="A2" t="s">
        <v>24</v>
      </c>
      <c r="B2">
        <v>2.33</v>
      </c>
      <c r="C2">
        <v>0.4</v>
      </c>
      <c r="D2">
        <v>2.33</v>
      </c>
    </row>
    <row r="3" spans="1:4">
      <c r="A3" t="s">
        <v>25</v>
      </c>
      <c r="B3">
        <v>2.31</v>
      </c>
      <c r="C3">
        <v>0.40100000000000002</v>
      </c>
      <c r="D3">
        <v>2.23</v>
      </c>
    </row>
    <row r="4" spans="1:4">
      <c r="A4" t="s">
        <v>26</v>
      </c>
      <c r="B4">
        <v>2.29</v>
      </c>
      <c r="C4">
        <v>0.39800000000000002</v>
      </c>
      <c r="D4">
        <v>2.13</v>
      </c>
    </row>
    <row r="5" spans="1:4">
      <c r="A5" t="s">
        <v>27</v>
      </c>
      <c r="B5">
        <v>2.27</v>
      </c>
      <c r="C5">
        <v>0.397666666666667</v>
      </c>
      <c r="D5">
        <v>2.0299999999999998</v>
      </c>
    </row>
    <row r="6" spans="1:4">
      <c r="A6" t="s">
        <v>28</v>
      </c>
      <c r="B6">
        <v>2.25</v>
      </c>
      <c r="C6">
        <v>0.396666666666667</v>
      </c>
      <c r="D6">
        <v>1.93</v>
      </c>
    </row>
    <row r="7" spans="1:4">
      <c r="A7" t="s">
        <v>29</v>
      </c>
      <c r="B7">
        <v>2.23</v>
      </c>
      <c r="C7">
        <v>0.395666666666667</v>
      </c>
      <c r="D7">
        <v>1.83</v>
      </c>
    </row>
    <row r="8" spans="1:4">
      <c r="A8" t="s">
        <v>114</v>
      </c>
      <c r="B8">
        <v>2.21</v>
      </c>
      <c r="C8">
        <v>0.394666666666667</v>
      </c>
      <c r="D8">
        <v>1.73</v>
      </c>
    </row>
    <row r="9" spans="1:4">
      <c r="A9" t="s">
        <v>115</v>
      </c>
      <c r="B9">
        <v>2.19</v>
      </c>
      <c r="C9">
        <v>0.393666666666667</v>
      </c>
      <c r="D9">
        <v>1.63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46"/>
  <sheetViews>
    <sheetView tabSelected="1" workbookViewId="0"/>
  </sheetViews>
  <sheetFormatPr defaultRowHeight="18.75"/>
  <cols>
    <col min="1" max="1" width="10.875" bestFit="1" customWidth="1"/>
    <col min="2" max="2" width="19" customWidth="1"/>
  </cols>
  <sheetData>
    <row r="1" spans="1:5">
      <c r="A1" t="s">
        <v>172</v>
      </c>
    </row>
    <row r="4" spans="1:5">
      <c r="A4" t="s">
        <v>166</v>
      </c>
    </row>
    <row r="5" spans="1:5">
      <c r="B5" t="s">
        <v>165</v>
      </c>
    </row>
    <row r="6" spans="1:5">
      <c r="A6" t="s">
        <v>164</v>
      </c>
      <c r="B6" t="s">
        <v>152</v>
      </c>
      <c r="C6" t="s">
        <v>153</v>
      </c>
      <c r="D6" t="s">
        <v>154</v>
      </c>
      <c r="E6" t="s">
        <v>155</v>
      </c>
    </row>
    <row r="7" spans="1:5">
      <c r="A7">
        <v>5200000000000</v>
      </c>
      <c r="B7">
        <v>0.64900000000000002</v>
      </c>
      <c r="C7">
        <v>0.65500000000000003</v>
      </c>
      <c r="D7">
        <v>0.66300000000000003</v>
      </c>
      <c r="E7">
        <v>0.66900000000000004</v>
      </c>
    </row>
    <row r="8" spans="1:5">
      <c r="A8">
        <v>5300000000000</v>
      </c>
      <c r="B8">
        <v>0.65100000000000002</v>
      </c>
      <c r="C8">
        <v>0.65700000000000003</v>
      </c>
      <c r="D8">
        <v>0.66500000000000004</v>
      </c>
      <c r="E8">
        <v>0.67100000000000004</v>
      </c>
    </row>
    <row r="9" spans="1:5">
      <c r="A9">
        <v>5400000000000</v>
      </c>
      <c r="B9">
        <v>0.65300000000000002</v>
      </c>
      <c r="C9">
        <v>0.65900000000000003</v>
      </c>
      <c r="D9">
        <v>0.66700000000000004</v>
      </c>
    </row>
    <row r="10" spans="1:5">
      <c r="A10">
        <v>5500000000000</v>
      </c>
      <c r="C10">
        <v>0.66100000000000003</v>
      </c>
    </row>
    <row r="13" spans="1:5">
      <c r="A13" t="s">
        <v>167</v>
      </c>
    </row>
    <row r="14" spans="1:5">
      <c r="B14" t="s">
        <v>165</v>
      </c>
    </row>
    <row r="15" spans="1:5">
      <c r="A15" t="s">
        <v>164</v>
      </c>
      <c r="B15" t="s">
        <v>152</v>
      </c>
      <c r="C15" t="s">
        <v>153</v>
      </c>
      <c r="D15" t="s">
        <v>154</v>
      </c>
      <c r="E15" t="s">
        <v>155</v>
      </c>
    </row>
    <row r="16" spans="1:5">
      <c r="A16">
        <v>5200000000000</v>
      </c>
      <c r="B16">
        <v>6.1600000000000002E-2</v>
      </c>
      <c r="C16">
        <v>6.2199999999999998E-2</v>
      </c>
      <c r="D16">
        <v>6.3E-2</v>
      </c>
      <c r="E16">
        <v>6.3600000000000004E-2</v>
      </c>
    </row>
    <row r="17" spans="1:5">
      <c r="A17">
        <v>5300000000000</v>
      </c>
      <c r="B17">
        <v>6.1800000000000001E-2</v>
      </c>
      <c r="C17">
        <v>6.2399999999999997E-2</v>
      </c>
      <c r="D17">
        <v>6.3200000000000006E-2</v>
      </c>
      <c r="E17">
        <v>6.3799999999999996E-2</v>
      </c>
    </row>
    <row r="18" spans="1:5">
      <c r="A18">
        <v>5400000000000</v>
      </c>
      <c r="B18">
        <v>6.2E-2</v>
      </c>
      <c r="C18">
        <v>6.2600000000000003E-2</v>
      </c>
      <c r="D18">
        <v>6.3399999999999998E-2</v>
      </c>
    </row>
    <row r="19" spans="1:5">
      <c r="A19">
        <v>5500000000000</v>
      </c>
      <c r="C19">
        <v>6.2799999999999995E-2</v>
      </c>
    </row>
    <row r="22" spans="1:5">
      <c r="A22" t="s">
        <v>168</v>
      </c>
    </row>
    <row r="23" spans="1:5">
      <c r="B23" t="s">
        <v>165</v>
      </c>
    </row>
    <row r="24" spans="1:5">
      <c r="A24" t="s">
        <v>164</v>
      </c>
      <c r="B24" t="s">
        <v>152</v>
      </c>
      <c r="C24" t="s">
        <v>153</v>
      </c>
      <c r="D24" t="s">
        <v>154</v>
      </c>
      <c r="E24" t="s">
        <v>155</v>
      </c>
    </row>
    <row r="25" spans="1:5">
      <c r="A25">
        <v>5200000000000</v>
      </c>
      <c r="B25">
        <v>2.33</v>
      </c>
      <c r="C25">
        <v>2.0299999999999998</v>
      </c>
      <c r="D25">
        <v>1.63</v>
      </c>
      <c r="E25">
        <v>1.33</v>
      </c>
    </row>
    <row r="26" spans="1:5">
      <c r="A26">
        <v>5300000000000</v>
      </c>
      <c r="B26">
        <v>2.23</v>
      </c>
      <c r="C26">
        <v>1.93</v>
      </c>
      <c r="D26">
        <v>1.53</v>
      </c>
      <c r="E26">
        <v>1.23</v>
      </c>
    </row>
    <row r="27" spans="1:5">
      <c r="A27">
        <v>5400000000000</v>
      </c>
      <c r="B27">
        <v>2.13</v>
      </c>
      <c r="C27">
        <v>1.83</v>
      </c>
      <c r="D27">
        <v>1.43</v>
      </c>
    </row>
    <row r="28" spans="1:5">
      <c r="A28">
        <v>5500000000000</v>
      </c>
      <c r="C28">
        <v>1.73</v>
      </c>
    </row>
    <row r="31" spans="1:5">
      <c r="A31" t="s">
        <v>169</v>
      </c>
    </row>
    <row r="32" spans="1:5">
      <c r="B32" t="s">
        <v>165</v>
      </c>
    </row>
    <row r="33" spans="1:5">
      <c r="A33" t="s">
        <v>164</v>
      </c>
      <c r="B33" t="s">
        <v>152</v>
      </c>
      <c r="C33" t="s">
        <v>153</v>
      </c>
      <c r="D33" t="s">
        <v>154</v>
      </c>
      <c r="E33" t="s">
        <v>155</v>
      </c>
    </row>
    <row r="34" spans="1:5">
      <c r="A34">
        <v>5200000000000</v>
      </c>
      <c r="B34">
        <v>2.29</v>
      </c>
      <c r="C34">
        <v>2.35</v>
      </c>
      <c r="D34">
        <v>2.4300000000000002</v>
      </c>
      <c r="E34">
        <v>2.4900000000000002</v>
      </c>
    </row>
    <row r="35" spans="1:5">
      <c r="A35">
        <v>5300000000000</v>
      </c>
      <c r="B35">
        <v>2.31</v>
      </c>
      <c r="C35">
        <v>2.37</v>
      </c>
      <c r="D35">
        <v>2.4500000000000002</v>
      </c>
      <c r="E35">
        <v>2.5099999999999998</v>
      </c>
    </row>
    <row r="36" spans="1:5">
      <c r="A36">
        <v>5400000000000</v>
      </c>
      <c r="B36">
        <v>2.33</v>
      </c>
      <c r="C36">
        <v>2.39</v>
      </c>
      <c r="D36">
        <v>2.4700000000000002</v>
      </c>
    </row>
    <row r="37" spans="1:5">
      <c r="A37">
        <v>5500000000000</v>
      </c>
      <c r="C37">
        <v>2.41</v>
      </c>
    </row>
    <row r="40" spans="1:5">
      <c r="A40" t="s">
        <v>170</v>
      </c>
    </row>
    <row r="41" spans="1:5">
      <c r="B41" t="s">
        <v>165</v>
      </c>
    </row>
    <row r="42" spans="1:5">
      <c r="A42" t="s">
        <v>164</v>
      </c>
      <c r="B42" t="s">
        <v>152</v>
      </c>
      <c r="C42" t="s">
        <v>153</v>
      </c>
      <c r="D42" t="s">
        <v>154</v>
      </c>
      <c r="E42" t="s">
        <v>155</v>
      </c>
    </row>
    <row r="43" spans="1:5">
      <c r="A43">
        <v>5200000000000</v>
      </c>
      <c r="B43">
        <v>0.4</v>
      </c>
      <c r="C43">
        <v>0.397666666666667</v>
      </c>
      <c r="D43">
        <v>0.393666666666667</v>
      </c>
      <c r="E43">
        <v>0.390666666666667</v>
      </c>
    </row>
    <row r="44" spans="1:5">
      <c r="A44">
        <v>5300000000000</v>
      </c>
      <c r="B44">
        <v>0.40100000000000002</v>
      </c>
      <c r="C44">
        <v>0.396666666666667</v>
      </c>
      <c r="D44">
        <v>0.392666666666667</v>
      </c>
      <c r="E44">
        <v>0.38966666666666699</v>
      </c>
    </row>
    <row r="45" spans="1:5">
      <c r="A45">
        <v>5400000000000</v>
      </c>
      <c r="B45">
        <v>0.39800000000000002</v>
      </c>
      <c r="C45">
        <v>0.395666666666667</v>
      </c>
      <c r="D45">
        <v>0.391666666666667</v>
      </c>
    </row>
    <row r="46" spans="1:5">
      <c r="A46">
        <v>5500000000000</v>
      </c>
      <c r="C46">
        <v>0.394666666666667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S23" sqref="S23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74</v>
      </c>
      <c r="H1" t="s">
        <v>77</v>
      </c>
      <c r="L1" s="6" t="s">
        <v>73</v>
      </c>
      <c r="M1" s="6" t="s">
        <v>73</v>
      </c>
      <c r="N1" s="6" t="s">
        <v>73</v>
      </c>
    </row>
    <row r="2" spans="2:16">
      <c r="B2" t="s">
        <v>61</v>
      </c>
      <c r="C2" t="s">
        <v>63</v>
      </c>
      <c r="D2" t="s">
        <v>65</v>
      </c>
      <c r="E2" s="6" t="s">
        <v>66</v>
      </c>
      <c r="F2" s="6" t="s">
        <v>117</v>
      </c>
      <c r="K2" s="8" t="s">
        <v>66</v>
      </c>
      <c r="L2" s="8" t="s">
        <v>75</v>
      </c>
      <c r="M2" s="8" t="s">
        <v>76</v>
      </c>
      <c r="N2" s="8" t="s">
        <v>78</v>
      </c>
    </row>
    <row r="3" spans="2:16">
      <c r="B3" t="s">
        <v>68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79</v>
      </c>
      <c r="K3" s="10">
        <v>5290000000000</v>
      </c>
      <c r="L3" s="2"/>
      <c r="M3" s="10">
        <v>1</v>
      </c>
      <c r="N3" s="10"/>
    </row>
    <row r="4" spans="2:16">
      <c r="B4" t="s">
        <v>70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72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74</v>
      </c>
      <c r="J7" t="s">
        <v>79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60</v>
      </c>
      <c r="C8" t="s">
        <v>62</v>
      </c>
      <c r="D8" t="s">
        <v>64</v>
      </c>
      <c r="E8" s="6" t="s">
        <v>66</v>
      </c>
      <c r="F8" s="6" t="s">
        <v>117</v>
      </c>
      <c r="J8" t="s">
        <v>79</v>
      </c>
      <c r="K8" s="10">
        <v>5540000000000</v>
      </c>
      <c r="L8" s="2"/>
      <c r="M8" s="10"/>
      <c r="N8" s="10">
        <v>5</v>
      </c>
    </row>
    <row r="9" spans="2:16">
      <c r="B9" t="s">
        <v>67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69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71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116</v>
      </c>
    </row>
    <row r="12" spans="2:16">
      <c r="P12" t="s">
        <v>118</v>
      </c>
    </row>
    <row r="13" spans="2:16">
      <c r="B13" t="s">
        <v>74</v>
      </c>
      <c r="P13" s="14" t="s">
        <v>84</v>
      </c>
    </row>
    <row r="14" spans="2:16">
      <c r="B14" t="s">
        <v>60</v>
      </c>
      <c r="C14" t="s">
        <v>62</v>
      </c>
      <c r="D14" t="s">
        <v>64</v>
      </c>
      <c r="E14" s="6" t="s">
        <v>66</v>
      </c>
      <c r="F14" s="6" t="s">
        <v>117</v>
      </c>
      <c r="P14" s="14" t="s">
        <v>85</v>
      </c>
    </row>
    <row r="15" spans="2:16">
      <c r="B15" t="s">
        <v>67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87</v>
      </c>
    </row>
    <row r="16" spans="2:16">
      <c r="B16" t="s">
        <v>69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89</v>
      </c>
    </row>
    <row r="17" spans="2:16">
      <c r="B17" t="s">
        <v>71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98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AB14E-3076-4F1D-AA48-3234B0F1E7A3}">
  <sheetPr codeName="Sheet9"/>
  <dimension ref="A1:AA33"/>
  <sheetViews>
    <sheetView workbookViewId="0">
      <selection sqref="A1:K16"/>
    </sheetView>
  </sheetViews>
  <sheetFormatPr defaultRowHeight="18.75"/>
  <cols>
    <col min="26" max="26" width="7.75" customWidth="1"/>
    <col min="27" max="27" width="7.875" customWidth="1"/>
    <col min="28" max="28" width="10.375" customWidth="1"/>
    <col min="29" max="29" width="7.25" customWidth="1"/>
  </cols>
  <sheetData>
    <row r="1" spans="1:23">
      <c r="F1" s="5" t="s">
        <v>43</v>
      </c>
      <c r="G1" t="s">
        <v>46</v>
      </c>
      <c r="H1" t="s">
        <v>51</v>
      </c>
      <c r="I1" t="s">
        <v>51</v>
      </c>
      <c r="J1" t="s">
        <v>46</v>
      </c>
      <c r="K1" t="s">
        <v>7</v>
      </c>
      <c r="N1" t="s">
        <v>171</v>
      </c>
    </row>
    <row r="2" spans="1:23">
      <c r="A2" s="5" t="s">
        <v>37</v>
      </c>
      <c r="B2" t="s">
        <v>19</v>
      </c>
      <c r="C2" t="s">
        <v>17</v>
      </c>
      <c r="D2" t="s">
        <v>65</v>
      </c>
      <c r="E2" t="s">
        <v>121</v>
      </c>
      <c r="F2" s="5" t="s">
        <v>108</v>
      </c>
      <c r="G2" t="s">
        <v>45</v>
      </c>
      <c r="H2" t="s">
        <v>52</v>
      </c>
      <c r="I2" t="s">
        <v>54</v>
      </c>
      <c r="J2" t="s">
        <v>57</v>
      </c>
      <c r="K2" t="s">
        <v>133</v>
      </c>
      <c r="N2" t="s">
        <v>148</v>
      </c>
      <c r="O2" t="s">
        <v>149</v>
      </c>
      <c r="P2" t="s">
        <v>149</v>
      </c>
      <c r="Q2" t="s">
        <v>149</v>
      </c>
      <c r="R2" t="s">
        <v>150</v>
      </c>
      <c r="S2" t="s">
        <v>151</v>
      </c>
      <c r="T2" t="s">
        <v>151</v>
      </c>
      <c r="U2" t="s">
        <v>151</v>
      </c>
      <c r="V2" t="s">
        <v>151</v>
      </c>
      <c r="W2" t="s">
        <v>151</v>
      </c>
    </row>
    <row r="3" spans="1:23">
      <c r="A3" s="5" t="s">
        <v>38</v>
      </c>
      <c r="B3" s="1" t="s">
        <v>41</v>
      </c>
      <c r="C3" s="1" t="s">
        <v>41</v>
      </c>
      <c r="D3" s="1" t="s">
        <v>41</v>
      </c>
      <c r="E3" s="1" t="s">
        <v>41</v>
      </c>
      <c r="F3" s="5" t="s">
        <v>37</v>
      </c>
      <c r="G3" t="s">
        <v>86</v>
      </c>
      <c r="H3" t="s">
        <v>88</v>
      </c>
      <c r="I3" t="s">
        <v>8</v>
      </c>
      <c r="J3" s="21" t="s">
        <v>5</v>
      </c>
      <c r="K3" t="s">
        <v>109</v>
      </c>
      <c r="N3" t="s">
        <v>131</v>
      </c>
      <c r="O3" t="s">
        <v>92</v>
      </c>
      <c r="P3" t="s">
        <v>91</v>
      </c>
      <c r="Q3" t="s">
        <v>64</v>
      </c>
      <c r="R3" t="s">
        <v>120</v>
      </c>
      <c r="S3" t="s">
        <v>85</v>
      </c>
      <c r="T3" t="s">
        <v>87</v>
      </c>
      <c r="U3" t="s">
        <v>98</v>
      </c>
      <c r="V3" t="s">
        <v>112</v>
      </c>
      <c r="W3" t="s">
        <v>113</v>
      </c>
    </row>
    <row r="4" spans="1:23">
      <c r="A4" s="5" t="s">
        <v>39</v>
      </c>
      <c r="B4" t="s">
        <v>42</v>
      </c>
      <c r="C4" t="s">
        <v>42</v>
      </c>
      <c r="D4" t="s">
        <v>42</v>
      </c>
      <c r="E4" t="s">
        <v>42</v>
      </c>
      <c r="F4" s="5" t="s">
        <v>44</v>
      </c>
      <c r="G4" t="s">
        <v>49</v>
      </c>
      <c r="H4" t="s">
        <v>50</v>
      </c>
      <c r="I4" t="s">
        <v>105</v>
      </c>
      <c r="J4" t="s">
        <v>49</v>
      </c>
      <c r="K4" t="s">
        <v>7</v>
      </c>
      <c r="N4" t="s">
        <v>24</v>
      </c>
      <c r="O4">
        <v>1100000000000</v>
      </c>
      <c r="P4">
        <v>200000000000</v>
      </c>
      <c r="Q4">
        <v>311000000000</v>
      </c>
      <c r="R4">
        <v>5200000000000</v>
      </c>
      <c r="S4">
        <v>0.64900000000000002</v>
      </c>
      <c r="T4">
        <v>6.1600000000000002E-2</v>
      </c>
      <c r="U4">
        <v>2.33</v>
      </c>
      <c r="V4">
        <v>2.29</v>
      </c>
      <c r="W4">
        <v>0.4</v>
      </c>
    </row>
    <row r="5" spans="1:23">
      <c r="A5" t="s">
        <v>24</v>
      </c>
      <c r="B5" s="1">
        <v>1100000000000</v>
      </c>
      <c r="C5" s="1">
        <v>200000000000</v>
      </c>
      <c r="D5">
        <v>311000000000</v>
      </c>
      <c r="E5" s="24">
        <v>5200000000000</v>
      </c>
      <c r="F5" t="s">
        <v>24</v>
      </c>
      <c r="G5" s="1">
        <v>0.64900000000000002</v>
      </c>
      <c r="H5" s="1">
        <v>6.1600000000000002E-2</v>
      </c>
      <c r="I5" s="1">
        <v>2.33</v>
      </c>
      <c r="J5" s="1">
        <v>2.29</v>
      </c>
      <c r="K5" s="1">
        <v>0.4</v>
      </c>
      <c r="N5" t="s">
        <v>25</v>
      </c>
      <c r="O5">
        <v>1100000000000</v>
      </c>
      <c r="P5">
        <v>200000000000</v>
      </c>
      <c r="Q5">
        <v>311000000000</v>
      </c>
      <c r="R5">
        <v>5300000000000</v>
      </c>
      <c r="S5">
        <v>0.65100000000000002</v>
      </c>
      <c r="T5">
        <v>6.1800000000000001E-2</v>
      </c>
      <c r="U5">
        <v>2.23</v>
      </c>
      <c r="V5">
        <v>2.31</v>
      </c>
      <c r="W5">
        <v>0.40100000000000002</v>
      </c>
    </row>
    <row r="6" spans="1:23">
      <c r="A6" t="s">
        <v>25</v>
      </c>
      <c r="B6" s="1">
        <v>1100000000000</v>
      </c>
      <c r="C6" s="1">
        <v>200000000000</v>
      </c>
      <c r="D6">
        <v>311000000000</v>
      </c>
      <c r="E6" s="22">
        <v>5300000000000</v>
      </c>
      <c r="F6" t="s">
        <v>25</v>
      </c>
      <c r="G6" s="1">
        <v>0.65100000000000002</v>
      </c>
      <c r="H6" s="1">
        <v>6.1800000000000001E-2</v>
      </c>
      <c r="I6" s="1">
        <v>2.23</v>
      </c>
      <c r="J6" s="1">
        <v>2.31</v>
      </c>
      <c r="K6" s="1">
        <v>0.40100000000000002</v>
      </c>
      <c r="N6" t="s">
        <v>26</v>
      </c>
      <c r="O6">
        <v>1100000000000</v>
      </c>
      <c r="P6">
        <v>200000000000</v>
      </c>
      <c r="Q6">
        <v>311000000000</v>
      </c>
      <c r="R6">
        <v>5400000000000</v>
      </c>
      <c r="S6">
        <v>0.65300000000000002</v>
      </c>
      <c r="T6">
        <v>6.2E-2</v>
      </c>
      <c r="U6">
        <v>2.13</v>
      </c>
      <c r="V6">
        <v>2.33</v>
      </c>
      <c r="W6">
        <v>0.39800000000000002</v>
      </c>
    </row>
    <row r="7" spans="1:23">
      <c r="A7" t="s">
        <v>26</v>
      </c>
      <c r="B7" s="1">
        <v>1100000000000</v>
      </c>
      <c r="C7" s="1">
        <v>200000000000</v>
      </c>
      <c r="D7">
        <v>311000000000</v>
      </c>
      <c r="E7" s="28">
        <v>5400000000000</v>
      </c>
      <c r="F7" t="s">
        <v>26</v>
      </c>
      <c r="G7" s="1">
        <v>0.65300000000000002</v>
      </c>
      <c r="H7" s="1">
        <v>6.2E-2</v>
      </c>
      <c r="I7" s="1">
        <v>2.13</v>
      </c>
      <c r="J7" s="1">
        <v>2.33</v>
      </c>
      <c r="K7" s="1">
        <v>0.39800000000000002</v>
      </c>
      <c r="N7" t="s">
        <v>27</v>
      </c>
      <c r="O7">
        <v>1200000000000</v>
      </c>
      <c r="P7">
        <v>200000000000</v>
      </c>
      <c r="Q7">
        <v>330000000000</v>
      </c>
      <c r="R7">
        <v>5200000000000</v>
      </c>
      <c r="S7">
        <v>0.65500000000000003</v>
      </c>
      <c r="T7">
        <v>6.2199999999999998E-2</v>
      </c>
      <c r="U7">
        <v>2.0299999999999998</v>
      </c>
      <c r="V7">
        <v>2.35</v>
      </c>
      <c r="W7">
        <v>0.397666666666667</v>
      </c>
    </row>
    <row r="8" spans="1:23">
      <c r="A8" t="s">
        <v>27</v>
      </c>
      <c r="B8" s="4">
        <v>1200000000000</v>
      </c>
      <c r="C8" s="1">
        <v>200000000000</v>
      </c>
      <c r="D8" s="25">
        <v>330000000000</v>
      </c>
      <c r="E8" s="24">
        <v>5200000000000</v>
      </c>
      <c r="F8" t="s">
        <v>27</v>
      </c>
      <c r="G8" s="1">
        <v>0.65500000000000003</v>
      </c>
      <c r="H8" s="1">
        <v>6.2199999999999998E-2</v>
      </c>
      <c r="I8" s="1">
        <v>2.0299999999999998</v>
      </c>
      <c r="J8" s="1">
        <v>2.35</v>
      </c>
      <c r="K8" s="1">
        <v>0.397666666666667</v>
      </c>
      <c r="N8" t="s">
        <v>28</v>
      </c>
      <c r="O8">
        <v>1200000000000</v>
      </c>
      <c r="P8">
        <v>200000000000</v>
      </c>
      <c r="Q8">
        <v>330000000000</v>
      </c>
      <c r="R8">
        <v>5300000000000</v>
      </c>
      <c r="S8">
        <v>0.65700000000000003</v>
      </c>
      <c r="T8">
        <v>6.2399999999999997E-2</v>
      </c>
      <c r="U8">
        <v>1.93</v>
      </c>
      <c r="V8">
        <v>2.37</v>
      </c>
      <c r="W8">
        <v>0.396666666666667</v>
      </c>
    </row>
    <row r="9" spans="1:23">
      <c r="A9" t="s">
        <v>28</v>
      </c>
      <c r="B9" s="4">
        <v>1200000000000</v>
      </c>
      <c r="C9" s="1">
        <v>200000000000</v>
      </c>
      <c r="D9" s="25">
        <v>330000000000</v>
      </c>
      <c r="E9" s="22">
        <v>5300000000000</v>
      </c>
      <c r="F9" t="s">
        <v>28</v>
      </c>
      <c r="G9" s="1">
        <v>0.65700000000000003</v>
      </c>
      <c r="H9" s="1">
        <v>6.2399999999999997E-2</v>
      </c>
      <c r="I9" s="1">
        <v>1.93</v>
      </c>
      <c r="J9" s="1">
        <v>2.37</v>
      </c>
      <c r="K9" s="1">
        <v>0.396666666666667</v>
      </c>
      <c r="N9" t="s">
        <v>29</v>
      </c>
      <c r="O9">
        <v>1200000000000</v>
      </c>
      <c r="P9">
        <v>200000000000</v>
      </c>
      <c r="Q9">
        <v>330000000000</v>
      </c>
      <c r="R9">
        <v>5400000000000</v>
      </c>
      <c r="S9">
        <v>0.65900000000000003</v>
      </c>
      <c r="T9">
        <v>6.2600000000000003E-2</v>
      </c>
      <c r="U9">
        <v>1.83</v>
      </c>
      <c r="V9">
        <v>2.39</v>
      </c>
      <c r="W9">
        <v>0.395666666666667</v>
      </c>
    </row>
    <row r="10" spans="1:23">
      <c r="A10" t="s">
        <v>29</v>
      </c>
      <c r="B10" s="4">
        <v>1200000000000</v>
      </c>
      <c r="C10" s="1">
        <v>200000000000</v>
      </c>
      <c r="D10" s="25">
        <v>330000000000</v>
      </c>
      <c r="E10" s="28">
        <v>5400000000000</v>
      </c>
      <c r="F10" t="s">
        <v>29</v>
      </c>
      <c r="G10" s="1">
        <v>0.65900000000000003</v>
      </c>
      <c r="H10" s="1">
        <v>6.2600000000000003E-2</v>
      </c>
      <c r="I10" s="1">
        <v>1.83</v>
      </c>
      <c r="J10" s="1">
        <v>2.39</v>
      </c>
      <c r="K10" s="1">
        <v>0.395666666666667</v>
      </c>
      <c r="N10" t="s">
        <v>114</v>
      </c>
      <c r="O10">
        <v>1200000000000</v>
      </c>
      <c r="P10">
        <v>200000000000</v>
      </c>
      <c r="Q10">
        <v>330000000000</v>
      </c>
      <c r="R10">
        <v>5500000000000</v>
      </c>
      <c r="S10">
        <v>0.66100000000000003</v>
      </c>
      <c r="T10">
        <v>6.2799999999999995E-2</v>
      </c>
      <c r="U10">
        <v>1.73</v>
      </c>
      <c r="V10">
        <v>2.41</v>
      </c>
      <c r="W10">
        <v>0.394666666666667</v>
      </c>
    </row>
    <row r="11" spans="1:23">
      <c r="A11" t="s">
        <v>114</v>
      </c>
      <c r="B11" s="4">
        <v>1200000000000</v>
      </c>
      <c r="C11" s="1">
        <v>200000000000</v>
      </c>
      <c r="D11" s="25">
        <v>330000000000</v>
      </c>
      <c r="E11" s="23">
        <v>5500000000000</v>
      </c>
      <c r="F11" t="s">
        <v>114</v>
      </c>
      <c r="G11" s="1">
        <v>0.66100000000000003</v>
      </c>
      <c r="H11" s="1">
        <v>6.2799999999999995E-2</v>
      </c>
      <c r="I11" s="1">
        <v>1.73</v>
      </c>
      <c r="J11" s="1">
        <v>2.41</v>
      </c>
      <c r="K11" s="1">
        <v>0.394666666666667</v>
      </c>
      <c r="N11" t="s">
        <v>115</v>
      </c>
      <c r="O11">
        <v>1300000000000</v>
      </c>
      <c r="P11">
        <v>300000000000</v>
      </c>
      <c r="Q11">
        <v>330000000000</v>
      </c>
      <c r="R11">
        <v>5200000000000</v>
      </c>
      <c r="S11">
        <v>0.66300000000000003</v>
      </c>
      <c r="T11">
        <v>6.3E-2</v>
      </c>
      <c r="U11">
        <v>1.63</v>
      </c>
      <c r="V11">
        <v>2.4300000000000002</v>
      </c>
      <c r="W11">
        <v>0.393666666666667</v>
      </c>
    </row>
    <row r="12" spans="1:23">
      <c r="A12" t="s">
        <v>115</v>
      </c>
      <c r="B12" s="4">
        <v>1300000000000</v>
      </c>
      <c r="C12" s="26">
        <v>300000000000</v>
      </c>
      <c r="D12" s="25">
        <v>330000000000</v>
      </c>
      <c r="E12" s="24">
        <v>5200000000000</v>
      </c>
      <c r="F12" t="s">
        <v>115</v>
      </c>
      <c r="G12" s="1">
        <v>0.66300000000000003</v>
      </c>
      <c r="H12" s="1">
        <v>6.3E-2</v>
      </c>
      <c r="I12" s="1">
        <v>1.63</v>
      </c>
      <c r="J12" s="1">
        <v>2.4300000000000002</v>
      </c>
      <c r="K12" s="1">
        <v>0.393666666666667</v>
      </c>
      <c r="N12" t="s">
        <v>134</v>
      </c>
      <c r="O12">
        <v>1300000000000</v>
      </c>
      <c r="P12">
        <v>300000000000</v>
      </c>
      <c r="Q12">
        <v>330000000000</v>
      </c>
      <c r="R12">
        <v>5300000000000</v>
      </c>
      <c r="S12">
        <v>0.66500000000000004</v>
      </c>
      <c r="T12">
        <v>6.3200000000000006E-2</v>
      </c>
      <c r="U12">
        <v>1.53</v>
      </c>
      <c r="V12">
        <v>2.4500000000000002</v>
      </c>
      <c r="W12">
        <v>0.392666666666667</v>
      </c>
    </row>
    <row r="13" spans="1:23">
      <c r="A13" t="s">
        <v>134</v>
      </c>
      <c r="B13" s="4">
        <v>1300000000000</v>
      </c>
      <c r="C13" s="26">
        <v>300000000000</v>
      </c>
      <c r="D13" s="25">
        <v>330000000000</v>
      </c>
      <c r="E13" s="22">
        <v>5300000000000</v>
      </c>
      <c r="F13" t="s">
        <v>134</v>
      </c>
      <c r="G13" s="1">
        <v>0.66500000000000004</v>
      </c>
      <c r="H13" s="1">
        <v>6.3200000000000006E-2</v>
      </c>
      <c r="I13" s="1">
        <v>1.53</v>
      </c>
      <c r="J13" s="1">
        <v>2.4500000000000002</v>
      </c>
      <c r="K13" s="1">
        <v>0.392666666666667</v>
      </c>
      <c r="N13" t="s">
        <v>136</v>
      </c>
      <c r="O13">
        <v>1300000000000</v>
      </c>
      <c r="P13">
        <v>300000000000</v>
      </c>
      <c r="Q13">
        <v>330000000000</v>
      </c>
      <c r="R13">
        <v>5400000000000</v>
      </c>
      <c r="S13">
        <v>0.66700000000000004</v>
      </c>
      <c r="T13">
        <v>6.3399999999999998E-2</v>
      </c>
      <c r="U13">
        <v>1.43</v>
      </c>
      <c r="V13">
        <v>2.4700000000000002</v>
      </c>
      <c r="W13">
        <v>0.391666666666667</v>
      </c>
    </row>
    <row r="14" spans="1:23">
      <c r="A14" t="s">
        <v>136</v>
      </c>
      <c r="B14" s="4">
        <v>1300000000000</v>
      </c>
      <c r="C14" s="26">
        <v>300000000000</v>
      </c>
      <c r="D14" s="25">
        <v>330000000000</v>
      </c>
      <c r="E14" s="28">
        <v>5400000000000</v>
      </c>
      <c r="F14" t="s">
        <v>136</v>
      </c>
      <c r="G14" s="1">
        <v>0.66700000000000004</v>
      </c>
      <c r="H14" s="1">
        <v>6.3399999999999998E-2</v>
      </c>
      <c r="I14" s="1">
        <v>1.43</v>
      </c>
      <c r="J14" s="1">
        <v>2.4700000000000002</v>
      </c>
      <c r="K14" s="1">
        <v>0.391666666666667</v>
      </c>
      <c r="N14" t="s">
        <v>137</v>
      </c>
      <c r="O14">
        <v>1300000000000</v>
      </c>
      <c r="P14">
        <v>300000000000</v>
      </c>
      <c r="Q14">
        <v>360000000000</v>
      </c>
      <c r="R14">
        <v>5200000000000</v>
      </c>
      <c r="S14">
        <v>0.66900000000000004</v>
      </c>
      <c r="T14">
        <v>6.3600000000000004E-2</v>
      </c>
      <c r="U14">
        <v>1.33</v>
      </c>
      <c r="V14">
        <v>2.4900000000000002</v>
      </c>
      <c r="W14">
        <v>0.390666666666667</v>
      </c>
    </row>
    <row r="15" spans="1:23">
      <c r="A15" t="s">
        <v>137</v>
      </c>
      <c r="B15" s="4">
        <v>1300000000000</v>
      </c>
      <c r="C15" s="26">
        <v>300000000000</v>
      </c>
      <c r="D15" s="27">
        <v>360000000000</v>
      </c>
      <c r="E15" s="24">
        <v>5200000000000</v>
      </c>
      <c r="F15" t="s">
        <v>137</v>
      </c>
      <c r="G15" s="1">
        <v>0.66900000000000004</v>
      </c>
      <c r="H15" s="1">
        <v>6.3600000000000004E-2</v>
      </c>
      <c r="I15" s="1">
        <v>1.33</v>
      </c>
      <c r="J15" s="1">
        <v>2.4900000000000002</v>
      </c>
      <c r="K15" s="1">
        <v>0.390666666666667</v>
      </c>
      <c r="N15" t="s">
        <v>138</v>
      </c>
      <c r="O15">
        <v>1300000000000</v>
      </c>
      <c r="P15">
        <v>300000000000</v>
      </c>
      <c r="Q15">
        <v>360000000000</v>
      </c>
      <c r="R15">
        <v>5300000000000</v>
      </c>
      <c r="S15">
        <v>0.67100000000000004</v>
      </c>
      <c r="T15">
        <v>6.3799999999999996E-2</v>
      </c>
      <c r="U15">
        <v>1.23</v>
      </c>
      <c r="V15">
        <v>2.5099999999999998</v>
      </c>
      <c r="W15">
        <v>0.38966666666666699</v>
      </c>
    </row>
    <row r="16" spans="1:23">
      <c r="A16" t="s">
        <v>138</v>
      </c>
      <c r="B16" s="4">
        <v>1300000000000</v>
      </c>
      <c r="C16" s="26">
        <v>300000000000</v>
      </c>
      <c r="D16" s="27">
        <v>360000000000</v>
      </c>
      <c r="E16" s="22">
        <v>5300000000000</v>
      </c>
      <c r="F16" t="s">
        <v>138</v>
      </c>
      <c r="G16" s="1">
        <v>0.67100000000000004</v>
      </c>
      <c r="H16" s="1">
        <v>6.3799999999999996E-2</v>
      </c>
      <c r="I16" s="1">
        <v>1.23</v>
      </c>
      <c r="J16" s="1">
        <v>2.5099999999999998</v>
      </c>
      <c r="K16" s="1">
        <v>0.38966666666666699</v>
      </c>
    </row>
    <row r="20" spans="14:27">
      <c r="N20" t="s">
        <v>148</v>
      </c>
      <c r="O20" t="s">
        <v>149</v>
      </c>
      <c r="P20" t="s">
        <v>149</v>
      </c>
      <c r="Q20" t="s">
        <v>149</v>
      </c>
      <c r="R20" t="s">
        <v>150</v>
      </c>
      <c r="S20" t="s">
        <v>151</v>
      </c>
      <c r="T20" t="s">
        <v>151</v>
      </c>
      <c r="U20" t="s">
        <v>151</v>
      </c>
      <c r="V20" t="s">
        <v>151</v>
      </c>
      <c r="W20" t="s">
        <v>151</v>
      </c>
      <c r="X20" t="s">
        <v>163</v>
      </c>
      <c r="Y20" t="s">
        <v>163</v>
      </c>
      <c r="Z20" t="s">
        <v>163</v>
      </c>
      <c r="AA20" t="s">
        <v>163</v>
      </c>
    </row>
    <row r="21" spans="14:27">
      <c r="N21" t="s">
        <v>131</v>
      </c>
      <c r="O21" t="s">
        <v>92</v>
      </c>
      <c r="P21" t="s">
        <v>91</v>
      </c>
      <c r="Q21" t="s">
        <v>64</v>
      </c>
      <c r="R21" t="s">
        <v>120</v>
      </c>
      <c r="S21" t="s">
        <v>85</v>
      </c>
      <c r="T21" t="s">
        <v>87</v>
      </c>
      <c r="U21" t="s">
        <v>98</v>
      </c>
      <c r="V21" t="s">
        <v>112</v>
      </c>
      <c r="W21" t="s">
        <v>113</v>
      </c>
      <c r="X21" t="s">
        <v>152</v>
      </c>
      <c r="Y21" t="s">
        <v>153</v>
      </c>
      <c r="Z21" t="s">
        <v>154</v>
      </c>
      <c r="AA21" t="s">
        <v>155</v>
      </c>
    </row>
    <row r="22" spans="14:27">
      <c r="N22" t="s">
        <v>24</v>
      </c>
      <c r="O22">
        <v>1100000000000</v>
      </c>
      <c r="P22">
        <v>200000000000</v>
      </c>
      <c r="Q22">
        <v>311000000000</v>
      </c>
      <c r="R22">
        <v>5200000000000</v>
      </c>
      <c r="S22">
        <v>0.64900000000000002</v>
      </c>
      <c r="T22">
        <v>6.1600000000000002E-2</v>
      </c>
      <c r="U22">
        <v>2.33</v>
      </c>
      <c r="V22">
        <v>2.29</v>
      </c>
      <c r="W22">
        <v>0.4</v>
      </c>
      <c r="X22">
        <v>1</v>
      </c>
      <c r="Y22">
        <v>0</v>
      </c>
      <c r="Z22">
        <v>0</v>
      </c>
      <c r="AA22">
        <v>0</v>
      </c>
    </row>
    <row r="23" spans="14:27">
      <c r="N23" t="s">
        <v>25</v>
      </c>
      <c r="O23">
        <v>1100000000000</v>
      </c>
      <c r="P23">
        <v>200000000000</v>
      </c>
      <c r="Q23">
        <v>311000000000</v>
      </c>
      <c r="R23">
        <v>5300000000000</v>
      </c>
      <c r="S23">
        <v>0.65100000000000002</v>
      </c>
      <c r="T23">
        <v>6.1800000000000001E-2</v>
      </c>
      <c r="U23">
        <v>2.23</v>
      </c>
      <c r="V23">
        <v>2.31</v>
      </c>
      <c r="W23">
        <v>0.40100000000000002</v>
      </c>
      <c r="X23">
        <v>1</v>
      </c>
      <c r="Y23">
        <v>0</v>
      </c>
      <c r="Z23">
        <v>0</v>
      </c>
      <c r="AA23">
        <v>0</v>
      </c>
    </row>
    <row r="24" spans="14:27">
      <c r="N24" t="s">
        <v>26</v>
      </c>
      <c r="O24">
        <v>1100000000000</v>
      </c>
      <c r="P24">
        <v>200000000000</v>
      </c>
      <c r="Q24">
        <v>311000000000</v>
      </c>
      <c r="R24">
        <v>5400000000000</v>
      </c>
      <c r="S24">
        <v>0.65300000000000002</v>
      </c>
      <c r="T24">
        <v>6.2E-2</v>
      </c>
      <c r="U24">
        <v>2.13</v>
      </c>
      <c r="V24">
        <v>2.33</v>
      </c>
      <c r="W24">
        <v>0.39800000000000002</v>
      </c>
      <c r="X24">
        <v>1</v>
      </c>
      <c r="Y24">
        <v>0</v>
      </c>
      <c r="Z24">
        <v>0</v>
      </c>
      <c r="AA24">
        <v>0</v>
      </c>
    </row>
    <row r="25" spans="14:27">
      <c r="N25" t="s">
        <v>27</v>
      </c>
      <c r="O25">
        <v>1200000000000</v>
      </c>
      <c r="P25">
        <v>200000000000</v>
      </c>
      <c r="Q25">
        <v>330000000000</v>
      </c>
      <c r="R25">
        <v>5200000000000</v>
      </c>
      <c r="S25">
        <v>0.65500000000000003</v>
      </c>
      <c r="T25">
        <v>6.2199999999999998E-2</v>
      </c>
      <c r="U25">
        <v>2.0299999999999998</v>
      </c>
      <c r="V25">
        <v>2.35</v>
      </c>
      <c r="W25">
        <v>0.397666666666667</v>
      </c>
      <c r="X25">
        <v>0</v>
      </c>
      <c r="Y25">
        <v>1</v>
      </c>
      <c r="Z25">
        <v>0</v>
      </c>
      <c r="AA25">
        <v>0</v>
      </c>
    </row>
    <row r="26" spans="14:27">
      <c r="N26" t="s">
        <v>28</v>
      </c>
      <c r="O26">
        <v>1200000000000</v>
      </c>
      <c r="P26">
        <v>200000000000</v>
      </c>
      <c r="Q26">
        <v>330000000000</v>
      </c>
      <c r="R26">
        <v>5300000000000</v>
      </c>
      <c r="S26">
        <v>0.65700000000000003</v>
      </c>
      <c r="T26">
        <v>6.2399999999999997E-2</v>
      </c>
      <c r="U26">
        <v>1.93</v>
      </c>
      <c r="V26">
        <v>2.37</v>
      </c>
      <c r="W26">
        <v>0.396666666666667</v>
      </c>
      <c r="X26">
        <v>0</v>
      </c>
      <c r="Y26">
        <v>1</v>
      </c>
      <c r="Z26">
        <v>0</v>
      </c>
      <c r="AA26">
        <v>0</v>
      </c>
    </row>
    <row r="27" spans="14:27">
      <c r="N27" t="s">
        <v>29</v>
      </c>
      <c r="O27">
        <v>1200000000000</v>
      </c>
      <c r="P27">
        <v>200000000000</v>
      </c>
      <c r="Q27">
        <v>330000000000</v>
      </c>
      <c r="R27">
        <v>5400000000000</v>
      </c>
      <c r="S27">
        <v>0.65900000000000003</v>
      </c>
      <c r="T27">
        <v>6.2600000000000003E-2</v>
      </c>
      <c r="U27">
        <v>1.83</v>
      </c>
      <c r="V27">
        <v>2.39</v>
      </c>
      <c r="W27">
        <v>0.395666666666667</v>
      </c>
      <c r="X27">
        <v>0</v>
      </c>
      <c r="Y27">
        <v>1</v>
      </c>
      <c r="Z27">
        <v>0</v>
      </c>
      <c r="AA27">
        <v>0</v>
      </c>
    </row>
    <row r="28" spans="14:27">
      <c r="N28" t="s">
        <v>114</v>
      </c>
      <c r="O28">
        <v>1200000000000</v>
      </c>
      <c r="P28">
        <v>200000000000</v>
      </c>
      <c r="Q28">
        <v>330000000000</v>
      </c>
      <c r="R28">
        <v>5500000000000</v>
      </c>
      <c r="S28">
        <v>0.66100000000000003</v>
      </c>
      <c r="T28">
        <v>6.2799999999999995E-2</v>
      </c>
      <c r="U28">
        <v>1.73</v>
      </c>
      <c r="V28">
        <v>2.41</v>
      </c>
      <c r="W28">
        <v>0.394666666666667</v>
      </c>
      <c r="X28">
        <v>0</v>
      </c>
      <c r="Y28">
        <v>1</v>
      </c>
      <c r="Z28">
        <v>0</v>
      </c>
      <c r="AA28">
        <v>0</v>
      </c>
    </row>
    <row r="29" spans="14:27">
      <c r="N29" t="s">
        <v>115</v>
      </c>
      <c r="O29">
        <v>1300000000000</v>
      </c>
      <c r="P29">
        <v>300000000000</v>
      </c>
      <c r="Q29">
        <v>330000000000</v>
      </c>
      <c r="R29">
        <v>5200000000000</v>
      </c>
      <c r="S29">
        <v>0.66300000000000003</v>
      </c>
      <c r="T29">
        <v>6.3E-2</v>
      </c>
      <c r="U29">
        <v>1.63</v>
      </c>
      <c r="V29">
        <v>2.4300000000000002</v>
      </c>
      <c r="W29">
        <v>0.393666666666667</v>
      </c>
      <c r="X29">
        <v>0</v>
      </c>
      <c r="Y29">
        <v>0</v>
      </c>
      <c r="Z29">
        <v>1</v>
      </c>
      <c r="AA29">
        <v>0</v>
      </c>
    </row>
    <row r="30" spans="14:27">
      <c r="N30" t="s">
        <v>134</v>
      </c>
      <c r="O30">
        <v>1300000000000</v>
      </c>
      <c r="P30">
        <v>300000000000</v>
      </c>
      <c r="Q30">
        <v>330000000000</v>
      </c>
      <c r="R30">
        <v>5300000000000</v>
      </c>
      <c r="S30">
        <v>0.66500000000000004</v>
      </c>
      <c r="T30">
        <v>6.3200000000000006E-2</v>
      </c>
      <c r="U30">
        <v>1.53</v>
      </c>
      <c r="V30">
        <v>2.4500000000000002</v>
      </c>
      <c r="W30">
        <v>0.392666666666667</v>
      </c>
      <c r="X30">
        <v>0</v>
      </c>
      <c r="Y30">
        <v>0</v>
      </c>
      <c r="Z30">
        <v>1</v>
      </c>
      <c r="AA30">
        <v>0</v>
      </c>
    </row>
    <row r="31" spans="14:27">
      <c r="N31" t="s">
        <v>136</v>
      </c>
      <c r="O31">
        <v>1300000000000</v>
      </c>
      <c r="P31">
        <v>300000000000</v>
      </c>
      <c r="Q31">
        <v>330000000000</v>
      </c>
      <c r="R31">
        <v>5400000000000</v>
      </c>
      <c r="S31">
        <v>0.66700000000000004</v>
      </c>
      <c r="T31">
        <v>6.3399999999999998E-2</v>
      </c>
      <c r="U31">
        <v>1.43</v>
      </c>
      <c r="V31">
        <v>2.4700000000000002</v>
      </c>
      <c r="W31">
        <v>0.391666666666667</v>
      </c>
      <c r="X31">
        <v>0</v>
      </c>
      <c r="Y31">
        <v>0</v>
      </c>
      <c r="Z31">
        <v>1</v>
      </c>
      <c r="AA31">
        <v>0</v>
      </c>
    </row>
    <row r="32" spans="14:27">
      <c r="N32" t="s">
        <v>137</v>
      </c>
      <c r="O32">
        <v>1300000000000</v>
      </c>
      <c r="P32">
        <v>300000000000</v>
      </c>
      <c r="Q32">
        <v>360000000000</v>
      </c>
      <c r="R32">
        <v>5200000000000</v>
      </c>
      <c r="S32">
        <v>0.66900000000000004</v>
      </c>
      <c r="T32">
        <v>6.3600000000000004E-2</v>
      </c>
      <c r="U32">
        <v>1.33</v>
      </c>
      <c r="V32">
        <v>2.4900000000000002</v>
      </c>
      <c r="W32">
        <v>0.390666666666667</v>
      </c>
      <c r="X32">
        <v>0</v>
      </c>
      <c r="Y32">
        <v>0</v>
      </c>
      <c r="Z32">
        <v>0</v>
      </c>
      <c r="AA32">
        <v>1</v>
      </c>
    </row>
    <row r="33" spans="14:27">
      <c r="N33" t="s">
        <v>138</v>
      </c>
      <c r="O33">
        <v>1300000000000</v>
      </c>
      <c r="P33">
        <v>300000000000</v>
      </c>
      <c r="Q33">
        <v>360000000000</v>
      </c>
      <c r="R33">
        <v>5300000000000</v>
      </c>
      <c r="S33">
        <v>0.67100000000000004</v>
      </c>
      <c r="T33">
        <v>6.3799999999999996E-2</v>
      </c>
      <c r="U33">
        <v>1.23</v>
      </c>
      <c r="V33">
        <v>2.5099999999999998</v>
      </c>
      <c r="W33">
        <v>0.38966666666666699</v>
      </c>
      <c r="X33">
        <v>0</v>
      </c>
      <c r="Y33">
        <v>0</v>
      </c>
      <c r="Z33">
        <v>0</v>
      </c>
      <c r="AA33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A7EEA-1AF9-4BB9-91C3-A41AB34000E1}">
  <sheetPr codeName="Sheet11"/>
  <dimension ref="A1:N16"/>
  <sheetViews>
    <sheetView zoomScaleNormal="100" workbookViewId="0">
      <selection activeCell="G20" sqref="G20"/>
    </sheetView>
  </sheetViews>
  <sheetFormatPr defaultRowHeight="18.75"/>
  <cols>
    <col min="3" max="3" width="10" bestFit="1" customWidth="1"/>
  </cols>
  <sheetData>
    <row r="1" spans="1:14">
      <c r="A1" t="s">
        <v>147</v>
      </c>
    </row>
    <row r="2" spans="1:14">
      <c r="A2" s="16" t="s">
        <v>92</v>
      </c>
      <c r="B2" s="16" t="s">
        <v>91</v>
      </c>
      <c r="C2" s="16" t="s">
        <v>64</v>
      </c>
      <c r="F2" s="29" t="s">
        <v>161</v>
      </c>
    </row>
    <row r="3" spans="1:14">
      <c r="A3" s="14">
        <v>1100000000000</v>
      </c>
      <c r="B3" s="14">
        <v>200000000000</v>
      </c>
      <c r="C3" s="14">
        <v>311000000000</v>
      </c>
      <c r="F3" t="s">
        <v>157</v>
      </c>
    </row>
    <row r="4" spans="1:14">
      <c r="A4" s="14">
        <v>1200000000000</v>
      </c>
      <c r="B4" s="14">
        <v>200000000000</v>
      </c>
      <c r="C4" s="10">
        <v>330000000000</v>
      </c>
      <c r="F4" t="s">
        <v>162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</row>
    <row r="5" spans="1:14">
      <c r="A5" s="14">
        <v>1300000000000</v>
      </c>
      <c r="B5" s="14">
        <v>300000000000</v>
      </c>
      <c r="C5" s="14">
        <v>330000000000</v>
      </c>
      <c r="F5" t="s">
        <v>156</v>
      </c>
      <c r="G5" t="s">
        <v>152</v>
      </c>
      <c r="H5" t="s">
        <v>153</v>
      </c>
      <c r="I5" t="s">
        <v>154</v>
      </c>
      <c r="J5" t="s">
        <v>155</v>
      </c>
    </row>
    <row r="6" spans="1:14">
      <c r="A6" s="14">
        <v>1300000000000</v>
      </c>
      <c r="B6" s="14">
        <v>300000000000</v>
      </c>
      <c r="C6" s="14">
        <v>360000000000</v>
      </c>
      <c r="F6">
        <v>5200000000000</v>
      </c>
      <c r="G6">
        <v>0.64900000000000002</v>
      </c>
      <c r="H6">
        <v>0.65500000000000003</v>
      </c>
      <c r="I6">
        <v>0.66300000000000003</v>
      </c>
      <c r="J6">
        <v>0.66900000000000004</v>
      </c>
    </row>
    <row r="7" spans="1:14">
      <c r="F7">
        <v>5300000000000</v>
      </c>
      <c r="G7">
        <v>0.65100000000000002</v>
      </c>
      <c r="H7">
        <v>0.65700000000000003</v>
      </c>
      <c r="I7">
        <v>0.66500000000000004</v>
      </c>
      <c r="J7">
        <v>0.67100000000000004</v>
      </c>
    </row>
    <row r="8" spans="1:14">
      <c r="F8">
        <v>5400000000000</v>
      </c>
      <c r="G8">
        <v>0.65300000000000002</v>
      </c>
      <c r="H8">
        <v>0.65900000000000003</v>
      </c>
      <c r="I8">
        <v>0.66700000000000004</v>
      </c>
    </row>
    <row r="9" spans="1:14">
      <c r="F9">
        <v>5500000000000</v>
      </c>
      <c r="H9">
        <v>0.66100000000000003</v>
      </c>
    </row>
    <row r="12" spans="1:14">
      <c r="F12" t="s">
        <v>158</v>
      </c>
      <c r="G12" t="s">
        <v>152</v>
      </c>
      <c r="H12" t="s">
        <v>153</v>
      </c>
      <c r="I12" t="s">
        <v>154</v>
      </c>
      <c r="J12" t="s">
        <v>155</v>
      </c>
      <c r="K12" t="s">
        <v>159</v>
      </c>
      <c r="L12" t="s">
        <v>160</v>
      </c>
    </row>
    <row r="13" spans="1:14">
      <c r="F13">
        <v>5200000000000</v>
      </c>
      <c r="G13">
        <v>0.64900000000000002</v>
      </c>
      <c r="H13">
        <v>0.65500000000000003</v>
      </c>
      <c r="I13">
        <v>0.66300000000000003</v>
      </c>
      <c r="J13">
        <v>0.66900000000000004</v>
      </c>
      <c r="K13">
        <v>0.66900000000000004</v>
      </c>
      <c r="L13">
        <v>0.66900000000000004</v>
      </c>
    </row>
    <row r="14" spans="1:14">
      <c r="F14">
        <v>5300000000000</v>
      </c>
      <c r="G14">
        <v>0.65100000000000002</v>
      </c>
      <c r="H14">
        <v>0.65700000000000003</v>
      </c>
      <c r="I14">
        <v>0.66500000000000004</v>
      </c>
      <c r="J14">
        <v>0.67100000000000004</v>
      </c>
      <c r="K14">
        <v>0.67100000000000004</v>
      </c>
      <c r="L14">
        <v>0.67100000000000004</v>
      </c>
    </row>
    <row r="15" spans="1:14">
      <c r="F15">
        <v>5400000000000</v>
      </c>
      <c r="G15">
        <v>0.65300000000000002</v>
      </c>
      <c r="H15">
        <v>0.65900000000000003</v>
      </c>
      <c r="I15">
        <v>0.66700000000000004</v>
      </c>
    </row>
    <row r="16" spans="1:14">
      <c r="F16">
        <v>5500000000000</v>
      </c>
      <c r="H16">
        <v>0.66100000000000003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4138-7DD0-4A81-A6E1-B7B37189A1C3}">
  <sheetPr codeName="Sheet2"/>
  <dimension ref="A1"/>
  <sheetViews>
    <sheetView workbookViewId="0">
      <selection activeCell="D19" sqref="D19"/>
    </sheetView>
  </sheetViews>
  <sheetFormatPr defaultRowHeight="18.75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J12"/>
  <sheetViews>
    <sheetView workbookViewId="0">
      <selection activeCell="A2" sqref="A2:A7"/>
    </sheetView>
  </sheetViews>
  <sheetFormatPr defaultRowHeight="18.75"/>
  <cols>
    <col min="1" max="1" width="37.875" bestFit="1" customWidth="1"/>
    <col min="2" max="2" width="23.25" bestFit="1" customWidth="1"/>
  </cols>
  <sheetData>
    <row r="1" spans="1:10">
      <c r="A1" t="s">
        <v>95</v>
      </c>
      <c r="B1" t="s">
        <v>93</v>
      </c>
      <c r="D1" t="s">
        <v>94</v>
      </c>
    </row>
    <row r="2" spans="1:10">
      <c r="A2" t="s">
        <v>92</v>
      </c>
      <c r="E2" t="s">
        <v>92</v>
      </c>
      <c r="F2" t="s">
        <v>91</v>
      </c>
      <c r="G2" t="s">
        <v>120</v>
      </c>
      <c r="H2" t="s">
        <v>135</v>
      </c>
      <c r="I2" t="s">
        <v>64</v>
      </c>
      <c r="J2" t="s">
        <v>119</v>
      </c>
    </row>
    <row r="3" spans="1:10">
      <c r="A3" t="s">
        <v>91</v>
      </c>
      <c r="E3">
        <v>1100000000000</v>
      </c>
      <c r="F3">
        <v>200000000000</v>
      </c>
      <c r="G3">
        <v>5200000000000</v>
      </c>
      <c r="H3">
        <v>1</v>
      </c>
      <c r="I3">
        <v>311000000000</v>
      </c>
      <c r="J3">
        <v>-1.1000000000000001</v>
      </c>
    </row>
    <row r="4" spans="1:10">
      <c r="A4" t="s">
        <v>120</v>
      </c>
      <c r="E4">
        <v>1200000000000</v>
      </c>
      <c r="F4">
        <v>300000000000</v>
      </c>
      <c r="G4">
        <v>5300000000000</v>
      </c>
      <c r="H4">
        <v>2</v>
      </c>
      <c r="I4">
        <v>330000000000</v>
      </c>
      <c r="J4">
        <v>-1.2</v>
      </c>
    </row>
    <row r="5" spans="1:10">
      <c r="A5" t="s">
        <v>135</v>
      </c>
      <c r="E5">
        <v>1300000000000</v>
      </c>
      <c r="G5">
        <v>5400000000000</v>
      </c>
      <c r="H5">
        <v>3</v>
      </c>
      <c r="I5">
        <v>360000000000</v>
      </c>
      <c r="J5">
        <v>-1.3</v>
      </c>
    </row>
    <row r="6" spans="1:10">
      <c r="A6" t="s">
        <v>64</v>
      </c>
    </row>
    <row r="7" spans="1:10">
      <c r="A7" t="s">
        <v>119</v>
      </c>
    </row>
    <row r="10" spans="1:10">
      <c r="A10" t="s">
        <v>7</v>
      </c>
    </row>
    <row r="11" spans="1:10">
      <c r="A11" t="s">
        <v>58</v>
      </c>
    </row>
    <row r="12" spans="1:10">
      <c r="A12" s="1">
        <v>0.38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グラフ作成</vt:lpstr>
      <vt:lpstr>設定ファイル</vt:lpstr>
      <vt:lpstr>条件表</vt:lpstr>
      <vt:lpstr>DataTable</vt:lpstr>
      <vt:lpstr>サマリ</vt:lpstr>
      <vt:lpstr>散布図</vt:lpstr>
      <vt:lpstr>例_散布図</vt:lpstr>
      <vt:lpstr>work_scatter1</vt:lpstr>
      <vt:lpstr>work_scatter2</vt:lpstr>
      <vt:lpstr>結果グラフ_サマリ</vt:lpstr>
      <vt:lpstr>work_graph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2021-08-15T06:20:47Z</dcterms:modified>
</cp:coreProperties>
</file>